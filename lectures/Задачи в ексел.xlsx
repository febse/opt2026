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ching\KMU\Материали\Tema 1\ексел\"/>
    </mc:Choice>
  </mc:AlternateContent>
  <xr:revisionPtr revIDLastSave="0" documentId="13_ncr:1_{5067257D-BFB3-461D-AE2E-9D705428D06C}" xr6:coauthVersionLast="47" xr6:coauthVersionMax="47" xr10:uidLastSave="{00000000-0000-0000-0000-000000000000}"/>
  <bookViews>
    <workbookView xWindow="-108" yWindow="-108" windowWidth="23256" windowHeight="12576" firstSheet="1" activeTab="7" xr2:uid="{0248F0A7-7114-4019-977C-3A79C0FD0B80}"/>
  </bookViews>
  <sheets>
    <sheet name="задача 1" sheetId="1" r:id="rId1"/>
    <sheet name="Answer Report 1" sheetId="5" r:id="rId2"/>
    <sheet name="Sensitivity Report 1" sheetId="6" r:id="rId3"/>
    <sheet name="задача 2" sheetId="2" r:id="rId4"/>
    <sheet name="задача 3" sheetId="3" r:id="rId5"/>
    <sheet name="задача 4" sheetId="4" r:id="rId6"/>
    <sheet name="стр. 18, задача 2" sheetId="7" r:id="rId7"/>
    <sheet name="доп.задачи - зад5" sheetId="8" r:id="rId8"/>
  </sheets>
  <definedNames>
    <definedName name="solver_adj" localSheetId="7" hidden="1">'доп.задачи - зад5'!$C$12:$C$13</definedName>
    <definedName name="solver_adj" localSheetId="0" hidden="1">'задача 1'!$B$11:$B$13</definedName>
    <definedName name="solver_adj" localSheetId="3" hidden="1">'задача 2'!$B$11:$B$13</definedName>
    <definedName name="solver_adj" localSheetId="4" hidden="1">'задача 3'!$B$14:$B$16</definedName>
    <definedName name="solver_adj" localSheetId="5" hidden="1">'задача 4'!$B$12:$B$14</definedName>
    <definedName name="solver_adj" localSheetId="6" hidden="1">'стр. 18, задача 2'!$C$12:$C$13</definedName>
    <definedName name="solver_cvg" localSheetId="7" hidden="1">0.0001</definedName>
    <definedName name="solver_cvg" localSheetId="0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drv" localSheetId="7" hidden="1">2</definedName>
    <definedName name="solver_drv" localSheetId="0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eng" localSheetId="7" hidden="1">2</definedName>
    <definedName name="solver_eng" localSheetId="0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st" localSheetId="7" hidden="1">1</definedName>
    <definedName name="solver_est" localSheetId="0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itr" localSheetId="7" hidden="1">2147483647</definedName>
    <definedName name="solver_itr" localSheetId="0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lhs1" localSheetId="7" hidden="1">'доп.задачи - зад5'!$I$7</definedName>
    <definedName name="solver_lhs1" localSheetId="0" hidden="1">'задача 1'!$H$6:$H$8</definedName>
    <definedName name="solver_lhs1" localSheetId="3" hidden="1">'задача 2'!$H$6:$H$9</definedName>
    <definedName name="solver_lhs1" localSheetId="4" hidden="1">'задача 3'!$H$12</definedName>
    <definedName name="solver_lhs1" localSheetId="5" hidden="1">'задача 4'!$H$6:$H$8</definedName>
    <definedName name="solver_lhs1" localSheetId="6" hidden="1">'стр. 18, задача 2'!$I$6:$I$7</definedName>
    <definedName name="solver_lhs2" localSheetId="7" hidden="1">'доп.задачи - зад5'!$I$8</definedName>
    <definedName name="solver_lhs2" localSheetId="0" hidden="1">'задача 1'!$H$8</definedName>
    <definedName name="solver_lhs2" localSheetId="4" hidden="1">'задача 3'!$H$6:$H$11</definedName>
    <definedName name="solver_lhs2" localSheetId="6" hidden="1">'стр. 18, задача 2'!$I$8</definedName>
    <definedName name="solver_lhs3" localSheetId="7" hidden="1">'доп.задачи - зад5'!$I$9:$I$10</definedName>
    <definedName name="solver_lhs3" localSheetId="0" hidden="1">'задача 1'!$H$8</definedName>
    <definedName name="solver_lhs3" localSheetId="6" hidden="1">'стр. 18, задача 2'!$I$9</definedName>
    <definedName name="solver_mip" localSheetId="7" hidden="1">2147483647</definedName>
    <definedName name="solver_mip" localSheetId="0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ni" localSheetId="7" hidden="1">30</definedName>
    <definedName name="solver_mni" localSheetId="0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rt" localSheetId="7" hidden="1">0.075</definedName>
    <definedName name="solver_mrt" localSheetId="0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sl" localSheetId="7" hidden="1">2</definedName>
    <definedName name="solver_msl" localSheetId="0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neg" localSheetId="7" hidden="1">1</definedName>
    <definedName name="solver_neg" localSheetId="0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od" localSheetId="7" hidden="1">2147483647</definedName>
    <definedName name="solver_nod" localSheetId="0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um" localSheetId="7" hidden="1">3</definedName>
    <definedName name="solver_num" localSheetId="0" hidden="1">1</definedName>
    <definedName name="solver_num" localSheetId="3" hidden="1">1</definedName>
    <definedName name="solver_num" localSheetId="4" hidden="1">2</definedName>
    <definedName name="solver_num" localSheetId="5" hidden="1">1</definedName>
    <definedName name="solver_num" localSheetId="6" hidden="1">3</definedName>
    <definedName name="solver_nwt" localSheetId="7" hidden="1">1</definedName>
    <definedName name="solver_nwt" localSheetId="0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opt" localSheetId="7" hidden="1">'доп.задачи - зад5'!$G$3</definedName>
    <definedName name="solver_opt" localSheetId="0" hidden="1">'задача 1'!$F$3</definedName>
    <definedName name="solver_opt" localSheetId="3" hidden="1">'задача 2'!$F$3</definedName>
    <definedName name="solver_opt" localSheetId="4" hidden="1">'задача 3'!$F$3</definedName>
    <definedName name="solver_opt" localSheetId="5" hidden="1">'задача 4'!$F$3</definedName>
    <definedName name="solver_opt" localSheetId="6" hidden="1">'стр. 18, задача 2'!$G$3</definedName>
    <definedName name="solver_pre" localSheetId="7" hidden="1">0.000001</definedName>
    <definedName name="solver_pre" localSheetId="0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rbv" localSheetId="7" hidden="1">2</definedName>
    <definedName name="solver_rbv" localSheetId="0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el1" localSheetId="7" hidden="1">3</definedName>
    <definedName name="solver_rel1" localSheetId="0" hidden="1">1</definedName>
    <definedName name="solver_rel1" localSheetId="3" hidden="1">1</definedName>
    <definedName name="solver_rel1" localSheetId="4" hidden="1">2</definedName>
    <definedName name="solver_rel1" localSheetId="5" hidden="1">1</definedName>
    <definedName name="solver_rel1" localSheetId="6" hidden="1">1</definedName>
    <definedName name="solver_rel2" localSheetId="7" hidden="1">1</definedName>
    <definedName name="solver_rel2" localSheetId="0" hidden="1">1</definedName>
    <definedName name="solver_rel2" localSheetId="4" hidden="1">1</definedName>
    <definedName name="solver_rel2" localSheetId="6" hidden="1">1</definedName>
    <definedName name="solver_rel3" localSheetId="7" hidden="1">1</definedName>
    <definedName name="solver_rel3" localSheetId="0" hidden="1">1</definedName>
    <definedName name="solver_rel3" localSheetId="6" hidden="1">1</definedName>
    <definedName name="solver_rhs1" localSheetId="7" hidden="1">'доп.задачи - зад5'!$F$7</definedName>
    <definedName name="solver_rhs1" localSheetId="0" hidden="1">'задача 1'!$E$6:$E$8</definedName>
    <definedName name="solver_rhs1" localSheetId="3" hidden="1">'задача 2'!$E$6:$E$9</definedName>
    <definedName name="solver_rhs1" localSheetId="4" hidden="1">'задача 3'!$E$12</definedName>
    <definedName name="solver_rhs1" localSheetId="5" hidden="1">'задача 4'!$E$6:$E$8</definedName>
    <definedName name="solver_rhs1" localSheetId="6" hidden="1">'стр. 18, задача 2'!$F$6:$F$7</definedName>
    <definedName name="solver_rhs2" localSheetId="7" hidden="1">'доп.задачи - зад5'!$F$8</definedName>
    <definedName name="solver_rhs2" localSheetId="0" hidden="1">'задача 1'!$E$8</definedName>
    <definedName name="solver_rhs2" localSheetId="4" hidden="1">'задача 3'!$E$6:$E$11</definedName>
    <definedName name="solver_rhs2" localSheetId="6" hidden="1">'стр. 18, задача 2'!$F$8</definedName>
    <definedName name="solver_rhs3" localSheetId="7" hidden="1">'доп.задачи - зад5'!$F$9:$F$10</definedName>
    <definedName name="solver_rhs3" localSheetId="0" hidden="1">'задача 1'!$E$8</definedName>
    <definedName name="solver_rhs3" localSheetId="6" hidden="1">'стр. 18, задача 2'!$F$9</definedName>
    <definedName name="solver_rlx" localSheetId="7" hidden="1">2</definedName>
    <definedName name="solver_rlx" localSheetId="0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sd" localSheetId="7" hidden="1">0</definedName>
    <definedName name="solver_rsd" localSheetId="0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scl" localSheetId="7" hidden="1">2</definedName>
    <definedName name="solver_scl" localSheetId="0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ho" localSheetId="7" hidden="1">2</definedName>
    <definedName name="solver_sho" localSheetId="0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sz" localSheetId="7" hidden="1">100</definedName>
    <definedName name="solver_ssz" localSheetId="0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tim" localSheetId="7" hidden="1">2147483647</definedName>
    <definedName name="solver_tim" localSheetId="0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ol" localSheetId="7" hidden="1">0.01</definedName>
    <definedName name="solver_tol" localSheetId="0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yp" localSheetId="7" hidden="1">2</definedName>
    <definedName name="solver_typ" localSheetId="0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typ" localSheetId="6" hidden="1">1</definedName>
    <definedName name="solver_val" localSheetId="7" hidden="1">0</definedName>
    <definedName name="solver_val" localSheetId="0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er" localSheetId="7" hidden="1">3</definedName>
    <definedName name="solver_ver" localSheetId="0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 a="1"/>
  <c r="J6" i="1" s="1"/>
  <c r="H6" i="1" a="1"/>
  <c r="H6" i="1" s="1"/>
  <c r="F3" i="1" a="1"/>
  <c r="F3" i="1" s="1"/>
  <c r="I7" i="8" a="1"/>
  <c r="I7" i="8" s="1"/>
  <c r="G3" i="8" a="1"/>
  <c r="G3" i="8" s="1"/>
  <c r="I6" i="7" a="1"/>
  <c r="I6" i="7" s="1"/>
  <c r="J16" i="7"/>
  <c r="I16" i="7"/>
  <c r="I17" i="7"/>
  <c r="N16" i="7"/>
  <c r="J17" i="7"/>
  <c r="G3" i="7" a="1"/>
  <c r="G3" i="7" s="1"/>
  <c r="F3" i="4" a="1"/>
  <c r="F3" i="4" s="1"/>
  <c r="J8" i="1" l="1"/>
  <c r="J7" i="1"/>
  <c r="K17" i="7"/>
  <c r="K16" i="7"/>
  <c r="H6" i="4" a="1"/>
  <c r="H6" i="4" s="1"/>
  <c r="H6" i="3" l="1" a="1"/>
  <c r="H6" i="3" s="1"/>
  <c r="F3" i="3" a="1"/>
  <c r="F3" i="3" s="1"/>
  <c r="H6" i="2" l="1" a="1"/>
  <c r="H6" i="2" s="1"/>
  <c r="F3" i="2" a="1"/>
  <c r="F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<sst xmlns="http://schemas.openxmlformats.org/spreadsheetml/2006/main" count="168" uniqueCount="73">
  <si>
    <t>x1</t>
  </si>
  <si>
    <t>x2</t>
  </si>
  <si>
    <t>x3</t>
  </si>
  <si>
    <t>c</t>
  </si>
  <si>
    <t>A</t>
  </si>
  <si>
    <t>b</t>
  </si>
  <si>
    <t>z(x)</t>
  </si>
  <si>
    <t>Ax</t>
  </si>
  <si>
    <t>Microsoft Excel 16.0 Answer Report</t>
  </si>
  <si>
    <t>Worksheet: [Задачи 1-4.xlsx]задача 1</t>
  </si>
  <si>
    <t>Report Created: 10/29/2020 2:27:59 PM</t>
  </si>
  <si>
    <t>Result: Solver found a solution.  All Constraints and optimality conditions are satisfied.</t>
  </si>
  <si>
    <t>Solver Engine</t>
  </si>
  <si>
    <t>Engine: Simplex LP</t>
  </si>
  <si>
    <t>Solution Time: 0.031 Seconds.</t>
  </si>
  <si>
    <t>Iterations: 2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</si>
  <si>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</si>
  <si>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</si>
  <si>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</si>
  <si>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</si>
  <si>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</si>
  <si>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</si>
  <si>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</si>
  <si>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</si>
  <si>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</si>
  <si>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</si>
  <si>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</si>
  <si>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</si>
  <si>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</si>
  <si>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</si>
  <si>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</si>
  <si>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$F$3</t>
  </si>
  <si>
    <t>$B$11</t>
  </si>
  <si>
    <t>x1 x2</t>
  </si>
  <si>
    <t>Contin</t>
  </si>
  <si>
    <t>$B$12</t>
  </si>
  <si>
    <t>x2 x2</t>
  </si>
  <si>
    <t>$B$13</t>
  </si>
  <si>
    <t>x3 x2</t>
  </si>
  <si>
    <t>$H$6</t>
  </si>
  <si>
    <t>$H$6&lt;=$E$6</t>
  </si>
  <si>
    <t>Binding</t>
  </si>
  <si>
    <t>$H$7</t>
  </si>
  <si>
    <t>$H$7&lt;=$E$7</t>
  </si>
  <si>
    <t>$H$8</t>
  </si>
  <si>
    <t>$H$8&lt;=$E$8</t>
  </si>
  <si>
    <t>Not Binding</t>
  </si>
  <si>
    <t>Microsoft Excel 16.0 Sensitivity Report</t>
  </si>
  <si>
    <t>Report Created: 10/29/2020 2:28:00 PM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</si>
  <si>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</si>
  <si>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</si>
  <si>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</si>
  <si>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</si>
  <si>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</si>
  <si>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</si>
  <si>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</si>
  <si>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</si>
  <si>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</si>
  <si>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</si>
  <si>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</si>
  <si>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</si>
  <si>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</si>
  <si>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печалба</t>
  </si>
  <si>
    <t>I вариант</t>
  </si>
  <si>
    <t>II вариант</t>
  </si>
  <si>
    <t>% дялово участие</t>
  </si>
  <si>
    <t>инвестирани пари</t>
  </si>
  <si>
    <t>инвестирано време</t>
  </si>
  <si>
    <t>Голям автобус</t>
  </si>
  <si>
    <t>Малък автобус</t>
  </si>
  <si>
    <t>Разход</t>
  </si>
  <si>
    <t>Система</t>
  </si>
  <si>
    <t>* IF mmult does not work as expected (older versions of excel) - Select all the three cells, type the formula and then press CTRL+SHIFT+ENTER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</si>
</sst>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4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0" xfId="0" applyFont="1"/>
    <xf numFmtId="49" fontId="0" fillId="0" borderId="0" xfId="0" applyNumberFormat="1" applyAlignment="1">
      <alignment vertical="top" wrapText="1"/>
    </xf>
    <xf numFmtId="0" fontId="0" fillId="3" borderId="0" xfId="0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F902-C3D7-4274-9E77-3847EB5BC6FD}">
  <dimension ref="A1:J13"/>
  <sheetViews>
    <sheetView zoomScale="130" zoomScaleNormal="130" workbookViewId="0">
      <selection activeCell="D17" sqref="D17"/>
    </sheetView>
  </sheetViews>
  <sheetFormatPr defaultRowHeight="14.4" x14ac:dyDescent="0.3"/>
  <cols>
    <col min="10" max="10" width="49.109375" customWidth="1"/>
  </cols>
  <sheetData>
    <row r="1" spans="1:10" x14ac:dyDescent="0.3">
      <c r="A1" t="s">
        <v>0</v>
      </c>
      <c r="B1" t="s">
        <v>1</v>
      </c>
      <c r="C1" t="s">
        <v>2</v>
      </c>
    </row>
    <row r="2" spans="1:10" x14ac:dyDescent="0.3">
      <c r="A2" t="s">
        <v>3</v>
      </c>
      <c r="F2" t="s">
        <v>6</v>
      </c>
    </row>
    <row r="3" spans="1:10" x14ac:dyDescent="0.3">
      <c r="A3">
        <v>9</v>
      </c>
      <c r="B3">
        <v>8</v>
      </c>
      <c r="C3">
        <v>4</v>
      </c>
      <c r="F3" s="1" cm="1">
        <f t="array" ref="F3">MMULT(A3:C3,B11:B13)</f>
        <v>1680</v>
      </c>
    </row>
    <row r="5" spans="1:10" ht="40.799999999999997" customHeight="1" x14ac:dyDescent="0.3">
      <c r="A5" t="s">
        <v>4</v>
      </c>
      <c r="E5" t="s">
        <v>5</v>
      </c>
      <c r="H5" t="s">
        <v>7</v>
      </c>
      <c r="J5" s="11" t="s">
        <v>72</v>
      </c>
    </row>
    <row r="6" spans="1:10" x14ac:dyDescent="0.3">
      <c r="A6">
        <v>3</v>
      </c>
      <c r="B6">
        <v>3</v>
      </c>
      <c r="C6">
        <v>3</v>
      </c>
      <c r="E6">
        <v>600</v>
      </c>
      <c r="H6" cm="1">
        <f t="array" ref="H6:H8">MMULT(A6:C8,B11:B13)</f>
        <v>600</v>
      </c>
      <c r="J6" s="12">
        <f t="array" ref="J6:J8">MMULT(A6:C8,B11:B13)</f>
        <v>600</v>
      </c>
    </row>
    <row r="7" spans="1:10" x14ac:dyDescent="0.3">
      <c r="A7">
        <v>3</v>
      </c>
      <c r="B7">
        <v>2</v>
      </c>
      <c r="C7">
        <v>1</v>
      </c>
      <c r="E7">
        <v>480</v>
      </c>
      <c r="H7">
        <v>480</v>
      </c>
      <c r="J7" s="12">
        <v>480</v>
      </c>
    </row>
    <row r="8" spans="1:10" x14ac:dyDescent="0.3">
      <c r="A8">
        <v>4</v>
      </c>
      <c r="B8">
        <v>1</v>
      </c>
      <c r="C8">
        <v>2</v>
      </c>
      <c r="E8">
        <v>750</v>
      </c>
      <c r="H8">
        <v>440</v>
      </c>
      <c r="J8" s="12">
        <v>440</v>
      </c>
    </row>
    <row r="11" spans="1:10" x14ac:dyDescent="0.3">
      <c r="A11" t="s">
        <v>0</v>
      </c>
      <c r="B11" s="1">
        <v>80</v>
      </c>
    </row>
    <row r="12" spans="1:10" x14ac:dyDescent="0.3">
      <c r="A12" t="s">
        <v>1</v>
      </c>
      <c r="B12" s="1">
        <v>120</v>
      </c>
    </row>
    <row r="13" spans="1:10" x14ac:dyDescent="0.3">
      <c r="A13" t="s">
        <v>2</v>
      </c>
      <c r="B1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F48E-704A-45C6-B657-47626C9BA121}">
  <dimension ref="A1:G30"/>
  <sheetViews>
    <sheetView showGridLines="0" workbookViewId="0"/>
  </sheetViews>
  <sheetFormatPr defaultRowHeight="14.4" x14ac:dyDescent="0.3"/>
  <cols>
    <col min="1" max="1" width="2.33203125" customWidth="1"/>
    <col min="2" max="2" width="5.21875" bestFit="1" customWidth="1"/>
    <col min="3" max="3" width="6" bestFit="1" customWidth="1"/>
    <col min="4" max="4" width="12.6640625" bestFit="1" customWidth="1"/>
    <col min="5" max="5" width="11.21875" bestFit="1" customWidth="1"/>
    <col min="6" max="6" width="10.44140625" bestFit="1" customWidth="1"/>
    <col min="7" max="7" width="5.33203125" bestFit="1" customWidth="1"/>
  </cols>
  <sheetData>
    <row r="1" spans="1:5" x14ac:dyDescent="0.3">
      <c r="A1" s="2" t="s">
        <v>8</v>
      </c>
    </row>
    <row r="2" spans="1:5" x14ac:dyDescent="0.3">
      <c r="A2" s="2" t="s">
        <v>9</v>
      </c>
    </row>
    <row r="3" spans="1:5" x14ac:dyDescent="0.3">
      <c r="A3" s="2" t="s">
        <v>10</v>
      </c>
    </row>
    <row r="4" spans="1:5" x14ac:dyDescent="0.3">
      <c r="A4" s="2" t="s">
        <v>11</v>
      </c>
    </row>
    <row r="5" spans="1:5" x14ac:dyDescent="0.3">
      <c r="A5" s="2" t="s">
        <v>12</v>
      </c>
    </row>
    <row r="6" spans="1:5" x14ac:dyDescent="0.3">
      <c r="A6" s="2"/>
      <c r="B6" t="s">
        <v>13</v>
      </c>
    </row>
    <row r="7" spans="1:5" x14ac:dyDescent="0.3">
      <c r="A7" s="2"/>
      <c r="B7" t="s">
        <v>14</v>
      </c>
    </row>
    <row r="8" spans="1:5" x14ac:dyDescent="0.3">
      <c r="A8" s="2"/>
      <c r="B8" t="s">
        <v>15</v>
      </c>
    </row>
    <row r="9" spans="1:5" x14ac:dyDescent="0.3">
      <c r="A9" s="2" t="s">
        <v>16</v>
      </c>
    </row>
    <row r="10" spans="1:5" x14ac:dyDescent="0.3">
      <c r="B10" t="s">
        <v>17</v>
      </c>
    </row>
    <row r="11" spans="1:5" x14ac:dyDescent="0.3">
      <c r="B11" t="s">
        <v>18</v>
      </c>
    </row>
    <row r="14" spans="1:5" ht="15" thickBot="1" x14ac:dyDescent="0.35">
      <c r="A14" t="s">
        <v>19</v>
      </c>
    </row>
    <row r="15" spans="1:5" ht="15" thickBot="1" x14ac:dyDescent="0.35">
      <c r="B15" s="4" t="s">
        <v>20</v>
      </c>
      <c r="C15" s="4" t="s">
        <v>21</v>
      </c>
      <c r="D15" s="4" t="s">
        <v>22</v>
      </c>
      <c r="E15" s="4" t="s">
        <v>23</v>
      </c>
    </row>
    <row r="16" spans="1:5" ht="15" thickBot="1" x14ac:dyDescent="0.35">
      <c r="B16" s="3" t="s">
        <v>31</v>
      </c>
      <c r="C16" s="3" t="s">
        <v>6</v>
      </c>
      <c r="D16" s="6">
        <v>1680</v>
      </c>
      <c r="E16" s="6">
        <v>1680</v>
      </c>
    </row>
    <row r="19" spans="1:7" ht="15" thickBot="1" x14ac:dyDescent="0.35">
      <c r="A19" t="s">
        <v>24</v>
      </c>
    </row>
    <row r="20" spans="1:7" ht="15" thickBot="1" x14ac:dyDescent="0.35">
      <c r="B20" s="4" t="s">
        <v>20</v>
      </c>
      <c r="C20" s="4" t="s">
        <v>21</v>
      </c>
      <c r="D20" s="4" t="s">
        <v>22</v>
      </c>
      <c r="E20" s="4" t="s">
        <v>23</v>
      </c>
      <c r="F20" s="4" t="s">
        <v>25</v>
      </c>
    </row>
    <row r="21" spans="1:7" x14ac:dyDescent="0.3">
      <c r="B21" s="5" t="s">
        <v>32</v>
      </c>
      <c r="C21" s="5" t="s">
        <v>33</v>
      </c>
      <c r="D21" s="7">
        <v>80</v>
      </c>
      <c r="E21" s="7">
        <v>80</v>
      </c>
      <c r="F21" s="5" t="s">
        <v>34</v>
      </c>
    </row>
    <row r="22" spans="1:7" x14ac:dyDescent="0.3">
      <c r="B22" s="5" t="s">
        <v>35</v>
      </c>
      <c r="C22" s="5" t="s">
        <v>36</v>
      </c>
      <c r="D22" s="7">
        <v>120</v>
      </c>
      <c r="E22" s="7">
        <v>120</v>
      </c>
      <c r="F22" s="5" t="s">
        <v>34</v>
      </c>
    </row>
    <row r="23" spans="1:7" ht="15" thickBot="1" x14ac:dyDescent="0.35">
      <c r="B23" s="3" t="s">
        <v>37</v>
      </c>
      <c r="C23" s="3" t="s">
        <v>38</v>
      </c>
      <c r="D23" s="6">
        <v>0</v>
      </c>
      <c r="E23" s="6">
        <v>0</v>
      </c>
      <c r="F23" s="3" t="s">
        <v>34</v>
      </c>
    </row>
    <row r="26" spans="1:7" ht="15" thickBot="1" x14ac:dyDescent="0.35">
      <c r="A26" t="s">
        <v>26</v>
      </c>
    </row>
    <row r="27" spans="1:7" ht="15" thickBot="1" x14ac:dyDescent="0.35">
      <c r="B27" s="4" t="s">
        <v>20</v>
      </c>
      <c r="C27" s="4" t="s">
        <v>21</v>
      </c>
      <c r="D27" s="4" t="s">
        <v>27</v>
      </c>
      <c r="E27" s="4" t="s">
        <v>28</v>
      </c>
      <c r="F27" s="4" t="s">
        <v>29</v>
      </c>
      <c r="G27" s="4" t="s">
        <v>30</v>
      </c>
    </row>
    <row r="28" spans="1:7" x14ac:dyDescent="0.3">
      <c r="B28" s="5" t="s">
        <v>39</v>
      </c>
      <c r="C28" s="5" t="s">
        <v>7</v>
      </c>
      <c r="D28" s="7">
        <v>600</v>
      </c>
      <c r="E28" s="5" t="s">
        <v>40</v>
      </c>
      <c r="F28" s="5" t="s">
        <v>41</v>
      </c>
      <c r="G28" s="5">
        <v>0</v>
      </c>
    </row>
    <row r="29" spans="1:7" x14ac:dyDescent="0.3">
      <c r="B29" s="5" t="s">
        <v>42</v>
      </c>
      <c r="C29" s="5" t="s">
        <v>7</v>
      </c>
      <c r="D29" s="7">
        <v>480</v>
      </c>
      <c r="E29" s="5" t="s">
        <v>43</v>
      </c>
      <c r="F29" s="5" t="s">
        <v>41</v>
      </c>
      <c r="G29" s="5">
        <v>0</v>
      </c>
    </row>
    <row r="30" spans="1:7" ht="15" thickBot="1" x14ac:dyDescent="0.35">
      <c r="B30" s="3" t="s">
        <v>44</v>
      </c>
      <c r="C30" s="3" t="s">
        <v>7</v>
      </c>
      <c r="D30" s="6">
        <v>440</v>
      </c>
      <c r="E30" s="3" t="s">
        <v>45</v>
      </c>
      <c r="F30" s="3" t="s">
        <v>46</v>
      </c>
      <c r="G30" s="3">
        <v>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8B7A-C6AB-4435-996F-E70169585EC3}">
  <dimension ref="A1:H18"/>
  <sheetViews>
    <sheetView showGridLines="0" workbookViewId="0">
      <selection activeCell="J18" sqref="J18"/>
    </sheetView>
  </sheetViews>
  <sheetFormatPr defaultRowHeight="14.4" x14ac:dyDescent="0.3"/>
  <cols>
    <col min="1" max="1" width="2.33203125" customWidth="1"/>
    <col min="2" max="2" width="6.109375" bestFit="1" customWidth="1"/>
    <col min="3" max="3" width="6" bestFit="1" customWidth="1"/>
    <col min="4" max="4" width="5.77734375" bestFit="1" customWidth="1"/>
    <col min="5" max="5" width="8.33203125" bestFit="1" customWidth="1"/>
    <col min="6" max="6" width="10.109375" bestFit="1" customWidth="1"/>
    <col min="7" max="7" width="12" bestFit="1" customWidth="1"/>
    <col min="8" max="8" width="9.21875" bestFit="1" customWidth="1"/>
  </cols>
  <sheetData>
    <row r="1" spans="1:8" x14ac:dyDescent="0.3">
      <c r="A1" s="2" t="s">
        <v>47</v>
      </c>
    </row>
    <row r="2" spans="1:8" x14ac:dyDescent="0.3">
      <c r="A2" s="2" t="s">
        <v>9</v>
      </c>
    </row>
    <row r="3" spans="1:8" x14ac:dyDescent="0.3">
      <c r="A3" s="2" t="s">
        <v>48</v>
      </c>
    </row>
    <row r="6" spans="1:8" ht="15" thickBot="1" x14ac:dyDescent="0.35">
      <c r="A6" t="s">
        <v>24</v>
      </c>
    </row>
    <row r="7" spans="1:8" x14ac:dyDescent="0.3">
      <c r="B7" s="8"/>
      <c r="C7" s="8"/>
      <c r="D7" s="8" t="s">
        <v>49</v>
      </c>
      <c r="E7" s="8" t="s">
        <v>51</v>
      </c>
      <c r="F7" s="8" t="s">
        <v>53</v>
      </c>
      <c r="G7" s="8" t="s">
        <v>55</v>
      </c>
      <c r="H7" s="8" t="s">
        <v>55</v>
      </c>
    </row>
    <row r="8" spans="1:8" ht="15" thickBot="1" x14ac:dyDescent="0.35">
      <c r="B8" s="9" t="s">
        <v>20</v>
      </c>
      <c r="C8" s="9" t="s">
        <v>21</v>
      </c>
      <c r="D8" s="9" t="s">
        <v>50</v>
      </c>
      <c r="E8" s="9" t="s">
        <v>52</v>
      </c>
      <c r="F8" s="9" t="s">
        <v>54</v>
      </c>
      <c r="G8" s="9" t="s">
        <v>56</v>
      </c>
      <c r="H8" s="9" t="s">
        <v>57</v>
      </c>
    </row>
    <row r="9" spans="1:8" x14ac:dyDescent="0.3">
      <c r="B9" s="5" t="s">
        <v>32</v>
      </c>
      <c r="C9" s="5" t="s">
        <v>33</v>
      </c>
      <c r="D9" s="5">
        <v>80</v>
      </c>
      <c r="E9" s="5">
        <v>0</v>
      </c>
      <c r="F9" s="5">
        <v>9</v>
      </c>
      <c r="G9" s="5">
        <v>3</v>
      </c>
      <c r="H9" s="5">
        <v>1</v>
      </c>
    </row>
    <row r="10" spans="1:8" x14ac:dyDescent="0.3">
      <c r="B10" s="5" t="s">
        <v>35</v>
      </c>
      <c r="C10" s="5" t="s">
        <v>36</v>
      </c>
      <c r="D10" s="5">
        <v>120</v>
      </c>
      <c r="E10" s="5">
        <v>0</v>
      </c>
      <c r="F10" s="5">
        <v>8</v>
      </c>
      <c r="G10" s="5">
        <v>1</v>
      </c>
      <c r="H10" s="5">
        <v>1.5</v>
      </c>
    </row>
    <row r="11" spans="1:8" ht="15" thickBot="1" x14ac:dyDescent="0.35">
      <c r="B11" s="3" t="s">
        <v>37</v>
      </c>
      <c r="C11" s="3" t="s">
        <v>38</v>
      </c>
      <c r="D11" s="3">
        <v>0</v>
      </c>
      <c r="E11" s="3">
        <v>-3</v>
      </c>
      <c r="F11" s="3">
        <v>4</v>
      </c>
      <c r="G11" s="3">
        <v>3</v>
      </c>
      <c r="H11" s="3">
        <v>1E+30</v>
      </c>
    </row>
    <row r="13" spans="1:8" ht="15" thickBot="1" x14ac:dyDescent="0.35">
      <c r="A13" t="s">
        <v>26</v>
      </c>
    </row>
    <row r="14" spans="1:8" x14ac:dyDescent="0.3">
      <c r="B14" s="8"/>
      <c r="C14" s="8"/>
      <c r="D14" s="8" t="s">
        <v>49</v>
      </c>
      <c r="E14" s="8" t="s">
        <v>58</v>
      </c>
      <c r="F14" s="8" t="s">
        <v>60</v>
      </c>
      <c r="G14" s="8" t="s">
        <v>55</v>
      </c>
      <c r="H14" s="8" t="s">
        <v>55</v>
      </c>
    </row>
    <row r="15" spans="1:8" ht="15" thickBot="1" x14ac:dyDescent="0.35">
      <c r="B15" s="9" t="s">
        <v>20</v>
      </c>
      <c r="C15" s="9" t="s">
        <v>21</v>
      </c>
      <c r="D15" s="9" t="s">
        <v>50</v>
      </c>
      <c r="E15" s="9" t="s">
        <v>59</v>
      </c>
      <c r="F15" s="9" t="s">
        <v>61</v>
      </c>
      <c r="G15" s="9" t="s">
        <v>56</v>
      </c>
      <c r="H15" s="9" t="s">
        <v>57</v>
      </c>
    </row>
    <row r="16" spans="1:8" x14ac:dyDescent="0.3">
      <c r="B16" s="5" t="s">
        <v>39</v>
      </c>
      <c r="C16" s="5" t="s">
        <v>7</v>
      </c>
      <c r="D16" s="5">
        <v>600</v>
      </c>
      <c r="E16" s="5">
        <v>2</v>
      </c>
      <c r="F16" s="5">
        <v>600</v>
      </c>
      <c r="G16" s="5">
        <v>120</v>
      </c>
      <c r="H16" s="5">
        <v>120</v>
      </c>
    </row>
    <row r="17" spans="2:8" x14ac:dyDescent="0.3">
      <c r="B17" s="5" t="s">
        <v>42</v>
      </c>
      <c r="C17" s="5" t="s">
        <v>7</v>
      </c>
      <c r="D17" s="5">
        <v>480</v>
      </c>
      <c r="E17" s="5">
        <v>1</v>
      </c>
      <c r="F17" s="5">
        <v>480</v>
      </c>
      <c r="G17" s="5">
        <v>103.33333333333333</v>
      </c>
      <c r="H17" s="5">
        <v>80</v>
      </c>
    </row>
    <row r="18" spans="2:8" ht="15" thickBot="1" x14ac:dyDescent="0.35">
      <c r="B18" s="3" t="s">
        <v>44</v>
      </c>
      <c r="C18" s="3" t="s">
        <v>7</v>
      </c>
      <c r="D18" s="3">
        <v>440</v>
      </c>
      <c r="E18" s="3">
        <v>0</v>
      </c>
      <c r="F18" s="3">
        <v>750</v>
      </c>
      <c r="G18" s="3">
        <v>1E+30</v>
      </c>
      <c r="H18" s="3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E48A-1B45-44EC-A5DD-B51164C355FE}">
  <dimension ref="A1:H13"/>
  <sheetViews>
    <sheetView workbookViewId="0">
      <selection activeCell="K5" sqref="K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</row>
    <row r="2" spans="1:8" x14ac:dyDescent="0.3">
      <c r="A2" t="s">
        <v>3</v>
      </c>
      <c r="F2" t="s">
        <v>6</v>
      </c>
    </row>
    <row r="3" spans="1:8" x14ac:dyDescent="0.3">
      <c r="A3">
        <v>30</v>
      </c>
      <c r="B3">
        <v>12</v>
      </c>
      <c r="C3">
        <v>15</v>
      </c>
      <c r="F3" s="1" cm="1">
        <f t="array" ref="F3">MMULT(A3:C3,B11:B13)</f>
        <v>1699.9999999999998</v>
      </c>
    </row>
    <row r="5" spans="1:8" x14ac:dyDescent="0.3">
      <c r="A5" t="s">
        <v>4</v>
      </c>
      <c r="E5" t="s">
        <v>5</v>
      </c>
      <c r="H5" t="s">
        <v>7</v>
      </c>
    </row>
    <row r="6" spans="1:8" x14ac:dyDescent="0.3">
      <c r="A6">
        <v>9</v>
      </c>
      <c r="B6">
        <v>3</v>
      </c>
      <c r="C6">
        <v>5</v>
      </c>
      <c r="E6">
        <v>500</v>
      </c>
      <c r="H6" cm="1">
        <f t="array" ref="H6:H9">MMULT(A6:C9,B11:B13)</f>
        <v>499.99999999999994</v>
      </c>
    </row>
    <row r="7" spans="1:8" x14ac:dyDescent="0.3">
      <c r="A7">
        <v>5</v>
      </c>
      <c r="B7">
        <v>4</v>
      </c>
      <c r="C7">
        <v>0</v>
      </c>
      <c r="E7">
        <v>300</v>
      </c>
      <c r="H7">
        <v>299.99999999999994</v>
      </c>
    </row>
    <row r="8" spans="1:8" x14ac:dyDescent="0.3">
      <c r="A8">
        <v>3</v>
      </c>
      <c r="B8">
        <v>0</v>
      </c>
      <c r="C8">
        <v>2</v>
      </c>
      <c r="E8">
        <v>150</v>
      </c>
      <c r="H8">
        <v>140</v>
      </c>
    </row>
    <row r="9" spans="1:8" x14ac:dyDescent="0.3">
      <c r="A9">
        <v>0</v>
      </c>
      <c r="B9">
        <v>0</v>
      </c>
      <c r="C9">
        <v>1</v>
      </c>
      <c r="E9">
        <v>20</v>
      </c>
      <c r="H9">
        <v>20</v>
      </c>
    </row>
    <row r="11" spans="1:8" x14ac:dyDescent="0.3">
      <c r="A11" t="s">
        <v>0</v>
      </c>
      <c r="B11">
        <v>33.333333333333329</v>
      </c>
    </row>
    <row r="12" spans="1:8" x14ac:dyDescent="0.3">
      <c r="A12" t="s">
        <v>1</v>
      </c>
      <c r="B12">
        <v>33.333333333333329</v>
      </c>
    </row>
    <row r="13" spans="1:8" x14ac:dyDescent="0.3">
      <c r="A13" t="s">
        <v>2</v>
      </c>
      <c r="B13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3BD7-D8C6-474D-ABC4-3C70B79D82B8}">
  <dimension ref="A1:H16"/>
  <sheetViews>
    <sheetView workbookViewId="0">
      <selection activeCell="P6" sqref="P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</row>
    <row r="2" spans="1:8" x14ac:dyDescent="0.3">
      <c r="A2" t="s">
        <v>3</v>
      </c>
      <c r="F2" t="s">
        <v>6</v>
      </c>
    </row>
    <row r="3" spans="1:8" x14ac:dyDescent="0.3">
      <c r="A3">
        <v>20</v>
      </c>
      <c r="B3">
        <v>25</v>
      </c>
      <c r="C3">
        <v>30</v>
      </c>
      <c r="F3" s="1" cm="1">
        <f t="array" ref="F3">MMULT(A3:C3,B14:B16)</f>
        <v>570</v>
      </c>
    </row>
    <row r="5" spans="1:8" x14ac:dyDescent="0.3">
      <c r="A5" t="s">
        <v>4</v>
      </c>
      <c r="E5" t="s">
        <v>5</v>
      </c>
      <c r="H5" t="s">
        <v>7</v>
      </c>
    </row>
    <row r="6" spans="1:8" x14ac:dyDescent="0.3">
      <c r="A6">
        <v>2</v>
      </c>
      <c r="B6">
        <v>1</v>
      </c>
      <c r="C6">
        <v>3</v>
      </c>
      <c r="E6">
        <v>60</v>
      </c>
      <c r="H6" cm="1">
        <f t="array" ref="H6:H12">MMULT(A6:C12,B14:B16)</f>
        <v>30.000000000000004</v>
      </c>
    </row>
    <row r="7" spans="1:8" x14ac:dyDescent="0.3">
      <c r="A7">
        <v>3</v>
      </c>
      <c r="B7">
        <v>4</v>
      </c>
      <c r="C7">
        <v>2</v>
      </c>
      <c r="E7">
        <v>80</v>
      </c>
      <c r="H7">
        <v>79.999999999999986</v>
      </c>
    </row>
    <row r="8" spans="1:8" x14ac:dyDescent="0.3">
      <c r="A8">
        <v>7</v>
      </c>
      <c r="B8">
        <v>3</v>
      </c>
      <c r="C8">
        <v>4</v>
      </c>
      <c r="E8">
        <v>70</v>
      </c>
      <c r="H8">
        <v>70</v>
      </c>
    </row>
    <row r="9" spans="1:8" x14ac:dyDescent="0.3">
      <c r="A9">
        <v>2</v>
      </c>
      <c r="B9">
        <v>1</v>
      </c>
      <c r="C9">
        <v>3</v>
      </c>
      <c r="E9">
        <v>50</v>
      </c>
      <c r="H9">
        <v>30.000000000000004</v>
      </c>
    </row>
    <row r="10" spans="1:8" x14ac:dyDescent="0.3">
      <c r="A10">
        <v>1</v>
      </c>
      <c r="B10">
        <v>0</v>
      </c>
      <c r="C10">
        <v>1</v>
      </c>
      <c r="E10">
        <v>40</v>
      </c>
      <c r="H10">
        <v>4.0000000000000027</v>
      </c>
    </row>
    <row r="11" spans="1:8" x14ac:dyDescent="0.3">
      <c r="A11">
        <v>4</v>
      </c>
      <c r="B11">
        <v>2</v>
      </c>
      <c r="C11">
        <v>1</v>
      </c>
      <c r="E11">
        <v>50</v>
      </c>
      <c r="H11">
        <v>39.999999999999993</v>
      </c>
    </row>
    <row r="12" spans="1:8" x14ac:dyDescent="0.3">
      <c r="A12">
        <v>1</v>
      </c>
      <c r="B12">
        <v>1</v>
      </c>
      <c r="C12">
        <v>1</v>
      </c>
      <c r="E12">
        <v>30</v>
      </c>
      <c r="H12">
        <v>22</v>
      </c>
    </row>
    <row r="14" spans="1:8" x14ac:dyDescent="0.3">
      <c r="A14" t="s">
        <v>0</v>
      </c>
      <c r="B14">
        <v>0</v>
      </c>
    </row>
    <row r="15" spans="1:8" x14ac:dyDescent="0.3">
      <c r="A15" t="s">
        <v>1</v>
      </c>
      <c r="B15">
        <v>17.999999999999996</v>
      </c>
    </row>
    <row r="16" spans="1:8" x14ac:dyDescent="0.3">
      <c r="A16" t="s">
        <v>2</v>
      </c>
      <c r="B16">
        <v>4.0000000000000027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61A6-5E38-47F2-AB85-2821EDFB16EF}">
  <dimension ref="A1:H14"/>
  <sheetViews>
    <sheetView zoomScale="115" zoomScaleNormal="115" workbookViewId="0">
      <selection activeCell="J14" sqref="J14"/>
    </sheetView>
  </sheetViews>
  <sheetFormatPr defaultRowHeight="14.4" x14ac:dyDescent="0.3"/>
  <cols>
    <col min="5" max="5" width="8.88671875" customWidth="1"/>
  </cols>
  <sheetData>
    <row r="1" spans="1:8" x14ac:dyDescent="0.3">
      <c r="A1" t="s">
        <v>0</v>
      </c>
      <c r="B1" t="s">
        <v>1</v>
      </c>
      <c r="C1" t="s">
        <v>2</v>
      </c>
    </row>
    <row r="2" spans="1:8" x14ac:dyDescent="0.3">
      <c r="A2" t="s">
        <v>3</v>
      </c>
      <c r="F2" t="s">
        <v>6</v>
      </c>
    </row>
    <row r="3" spans="1:8" x14ac:dyDescent="0.3">
      <c r="A3">
        <v>12</v>
      </c>
      <c r="B3">
        <v>14</v>
      </c>
      <c r="C3">
        <v>20</v>
      </c>
      <c r="F3" s="1" cm="1">
        <f t="array" ref="F3">MMULT(A3:C3,B12:B14)</f>
        <v>17142.857142857141</v>
      </c>
    </row>
    <row r="5" spans="1:8" x14ac:dyDescent="0.3">
      <c r="A5" t="s">
        <v>4</v>
      </c>
      <c r="E5" t="s">
        <v>5</v>
      </c>
      <c r="H5" t="s">
        <v>7</v>
      </c>
    </row>
    <row r="6" spans="1:8" x14ac:dyDescent="0.3">
      <c r="A6">
        <v>2</v>
      </c>
      <c r="B6">
        <v>2.5</v>
      </c>
      <c r="C6">
        <v>3</v>
      </c>
      <c r="E6">
        <v>18000</v>
      </c>
      <c r="H6" cm="1">
        <f t="array" ref="H6:H8">MMULT(A6:C8,B12:B14)</f>
        <v>2857.1428571428569</v>
      </c>
    </row>
    <row r="7" spans="1:8" x14ac:dyDescent="0.3">
      <c r="A7">
        <v>30</v>
      </c>
      <c r="B7">
        <v>40</v>
      </c>
      <c r="C7">
        <v>60</v>
      </c>
      <c r="E7">
        <v>225000</v>
      </c>
      <c r="H7">
        <v>42857.142857142855</v>
      </c>
    </row>
    <row r="8" spans="1:8" x14ac:dyDescent="0.3">
      <c r="A8">
        <v>7</v>
      </c>
      <c r="B8">
        <v>10</v>
      </c>
      <c r="C8">
        <v>13</v>
      </c>
      <c r="E8">
        <v>10000</v>
      </c>
      <c r="H8">
        <v>10000</v>
      </c>
    </row>
    <row r="12" spans="1:8" x14ac:dyDescent="0.3">
      <c r="A12" t="s">
        <v>0</v>
      </c>
      <c r="B12">
        <v>1428.5714285714284</v>
      </c>
    </row>
    <row r="13" spans="1:8" x14ac:dyDescent="0.3">
      <c r="A13" t="s">
        <v>1</v>
      </c>
      <c r="B13">
        <v>0</v>
      </c>
    </row>
    <row r="14" spans="1:8" x14ac:dyDescent="0.3">
      <c r="A14" t="s">
        <v>2</v>
      </c>
      <c r="B1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7AA7D-4B04-469A-869F-ED9274D043DF}">
  <dimension ref="A1:N17"/>
  <sheetViews>
    <sheetView workbookViewId="0">
      <selection activeCell="H25" sqref="H25"/>
    </sheetView>
  </sheetViews>
  <sheetFormatPr defaultRowHeight="14.4" x14ac:dyDescent="0.3"/>
  <cols>
    <col min="1" max="1" width="11" customWidth="1"/>
    <col min="2" max="2" width="15.5546875" customWidth="1"/>
    <col min="3" max="3" width="16.33203125" bestFit="1" customWidth="1"/>
    <col min="8" max="8" width="20.33203125" customWidth="1"/>
    <col min="10" max="10" width="11.21875" customWidth="1"/>
  </cols>
  <sheetData>
    <row r="1" spans="1:14" x14ac:dyDescent="0.3">
      <c r="B1" t="s">
        <v>0</v>
      </c>
      <c r="C1" t="s">
        <v>1</v>
      </c>
    </row>
    <row r="2" spans="1:14" x14ac:dyDescent="0.3">
      <c r="B2" t="s">
        <v>3</v>
      </c>
      <c r="G2" t="s">
        <v>6</v>
      </c>
    </row>
    <row r="3" spans="1:14" x14ac:dyDescent="0.3">
      <c r="B3">
        <v>4500</v>
      </c>
      <c r="C3">
        <v>4500</v>
      </c>
      <c r="G3" s="1" cm="1">
        <f t="array" ref="G3">MMULT(B3:C3,C12:C13)</f>
        <v>6000</v>
      </c>
    </row>
    <row r="5" spans="1:14" x14ac:dyDescent="0.3">
      <c r="B5" t="s">
        <v>4</v>
      </c>
      <c r="F5" t="s">
        <v>5</v>
      </c>
      <c r="I5" t="s">
        <v>7</v>
      </c>
    </row>
    <row r="6" spans="1:14" x14ac:dyDescent="0.3">
      <c r="B6">
        <v>5000</v>
      </c>
      <c r="C6">
        <v>4000</v>
      </c>
      <c r="F6">
        <v>6000</v>
      </c>
      <c r="I6" cm="1">
        <f t="array" ref="I6:I9">MMULT(B6:C9,C12:C13)</f>
        <v>6000</v>
      </c>
    </row>
    <row r="7" spans="1:14" x14ac:dyDescent="0.3">
      <c r="B7">
        <v>400</v>
      </c>
      <c r="C7">
        <v>500</v>
      </c>
      <c r="F7">
        <v>600</v>
      </c>
      <c r="I7">
        <v>600</v>
      </c>
    </row>
    <row r="8" spans="1:14" x14ac:dyDescent="0.3">
      <c r="B8">
        <v>0</v>
      </c>
      <c r="C8">
        <v>1</v>
      </c>
      <c r="F8">
        <v>1</v>
      </c>
      <c r="I8">
        <v>0.66666666666666663</v>
      </c>
    </row>
    <row r="9" spans="1:14" x14ac:dyDescent="0.3">
      <c r="B9">
        <v>1</v>
      </c>
      <c r="C9">
        <v>0</v>
      </c>
      <c r="F9">
        <v>1</v>
      </c>
      <c r="I9">
        <v>0.66666666666666674</v>
      </c>
    </row>
    <row r="11" spans="1:14" x14ac:dyDescent="0.3">
      <c r="C11" s="10" t="s">
        <v>65</v>
      </c>
    </row>
    <row r="12" spans="1:14" x14ac:dyDescent="0.3">
      <c r="A12" s="10" t="s">
        <v>63</v>
      </c>
      <c r="B12" t="s">
        <v>0</v>
      </c>
      <c r="C12">
        <v>0.66666666666666674</v>
      </c>
    </row>
    <row r="13" spans="1:14" x14ac:dyDescent="0.3">
      <c r="A13" s="10" t="s">
        <v>64</v>
      </c>
      <c r="B13" t="s">
        <v>1</v>
      </c>
      <c r="C13">
        <v>0.66666666666666663</v>
      </c>
    </row>
    <row r="15" spans="1:14" x14ac:dyDescent="0.3">
      <c r="I15" s="10" t="s">
        <v>63</v>
      </c>
      <c r="J15" s="10" t="s">
        <v>64</v>
      </c>
    </row>
    <row r="16" spans="1:14" x14ac:dyDescent="0.3">
      <c r="H16" s="10" t="s">
        <v>66</v>
      </c>
      <c r="I16">
        <f>C12*B6</f>
        <v>3333.3333333333335</v>
      </c>
      <c r="J16">
        <f>C13*C6</f>
        <v>2666.6666666666665</v>
      </c>
      <c r="K16">
        <f>SUM(I16:J16)</f>
        <v>6000</v>
      </c>
      <c r="M16" s="10" t="s">
        <v>62</v>
      </c>
      <c r="N16">
        <f>C12*B3+C13*C3</f>
        <v>6000</v>
      </c>
    </row>
    <row r="17" spans="8:11" x14ac:dyDescent="0.3">
      <c r="H17" s="10" t="s">
        <v>67</v>
      </c>
      <c r="I17">
        <f>C12*B7</f>
        <v>266.66666666666669</v>
      </c>
      <c r="J17">
        <f>C12*C7</f>
        <v>333.33333333333337</v>
      </c>
      <c r="K17">
        <f>SUM(I17:J17)</f>
        <v>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45C-69A5-4F09-8767-CF24AC9E049D}">
  <dimension ref="A1:I13"/>
  <sheetViews>
    <sheetView tabSelected="1" zoomScale="130" zoomScaleNormal="130" workbookViewId="0">
      <selection activeCell="G17" sqref="G17"/>
    </sheetView>
  </sheetViews>
  <sheetFormatPr defaultRowHeight="14.4" x14ac:dyDescent="0.3"/>
  <cols>
    <col min="1" max="1" width="21.77734375" customWidth="1"/>
  </cols>
  <sheetData>
    <row r="1" spans="1:9" x14ac:dyDescent="0.3">
      <c r="B1" t="s">
        <v>0</v>
      </c>
      <c r="C1" t="s">
        <v>1</v>
      </c>
      <c r="G1" t="s">
        <v>70</v>
      </c>
    </row>
    <row r="2" spans="1:9" x14ac:dyDescent="0.3">
      <c r="B2" t="s">
        <v>3</v>
      </c>
      <c r="G2" t="s">
        <v>6</v>
      </c>
    </row>
    <row r="3" spans="1:9" x14ac:dyDescent="0.3">
      <c r="B3">
        <v>800</v>
      </c>
      <c r="C3">
        <v>600</v>
      </c>
      <c r="G3" s="1" cm="1">
        <f t="array" ref="G3">MMULT(B3:C3,C12:C13)</f>
        <v>6200</v>
      </c>
    </row>
    <row r="5" spans="1:9" x14ac:dyDescent="0.3">
      <c r="B5" s="13" t="s">
        <v>71</v>
      </c>
      <c r="C5" s="13"/>
      <c r="D5" s="13"/>
      <c r="E5" s="13"/>
      <c r="F5" s="13"/>
      <c r="G5" s="13"/>
      <c r="H5" s="13"/>
    </row>
    <row r="6" spans="1:9" x14ac:dyDescent="0.3">
      <c r="B6" t="s">
        <v>4</v>
      </c>
      <c r="F6" t="s">
        <v>5</v>
      </c>
      <c r="I6" t="s">
        <v>7</v>
      </c>
    </row>
    <row r="7" spans="1:9" x14ac:dyDescent="0.3">
      <c r="B7">
        <v>50</v>
      </c>
      <c r="C7">
        <v>40</v>
      </c>
      <c r="F7">
        <v>400</v>
      </c>
      <c r="I7" cm="1">
        <f t="array" ref="I7:I10">MMULT(B7:C10,C12:C13)</f>
        <v>400</v>
      </c>
    </row>
    <row r="8" spans="1:9" x14ac:dyDescent="0.3">
      <c r="B8">
        <v>1</v>
      </c>
      <c r="C8">
        <v>1</v>
      </c>
      <c r="F8">
        <v>9</v>
      </c>
      <c r="I8">
        <v>9</v>
      </c>
    </row>
    <row r="9" spans="1:9" x14ac:dyDescent="0.3">
      <c r="B9">
        <v>1</v>
      </c>
      <c r="C9">
        <v>0</v>
      </c>
      <c r="F9">
        <v>10</v>
      </c>
      <c r="I9">
        <v>3.9999999999999991</v>
      </c>
    </row>
    <row r="10" spans="1:9" x14ac:dyDescent="0.3">
      <c r="B10">
        <v>0</v>
      </c>
      <c r="C10">
        <v>1</v>
      </c>
      <c r="F10">
        <v>8</v>
      </c>
      <c r="I10">
        <v>5.0000000000000009</v>
      </c>
    </row>
    <row r="12" spans="1:9" x14ac:dyDescent="0.3">
      <c r="A12" t="s">
        <v>68</v>
      </c>
      <c r="B12" t="s">
        <v>0</v>
      </c>
      <c r="C12" s="1">
        <v>3.9999999999999991</v>
      </c>
    </row>
    <row r="13" spans="1:9" x14ac:dyDescent="0.3">
      <c r="A13" t="s">
        <v>69</v>
      </c>
      <c r="B13" t="s">
        <v>1</v>
      </c>
      <c r="C13" s="1">
        <v>5.0000000000000009</v>
      </c>
    </row>
  </sheetData>
  <mergeCells count="1">
    <mergeCell ref="B5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E0168B75A8E43915B1A31C4EA5251" ma:contentTypeVersion="0" ma:contentTypeDescription="Create a new document." ma:contentTypeScope="" ma:versionID="31c4a13a74c0b3392105cdd013dfc44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8ef70d2dfc52c4ccfbeb3bd0957f36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3CAB70-5D3D-4CFD-AF12-1C0C03DD57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AE7B62-C270-4ED9-BC85-1EC1DC18651F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4C5AFF6-3313-42BD-82A9-DA8982557F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задача 1</vt:lpstr>
      <vt:lpstr>Answer Report 1</vt:lpstr>
      <vt:lpstr>Sensitivity Report 1</vt:lpstr>
      <vt:lpstr>задача 2</vt:lpstr>
      <vt:lpstr>задача 3</vt:lpstr>
      <vt:lpstr>задача 4</vt:lpstr>
      <vt:lpstr>стр. 18, задача 2</vt:lpstr>
      <vt:lpstr>доп.задачи - зад5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Hristova</dc:creator>
  <cp:lastModifiedBy>FEBA</cp:lastModifiedBy>
  <dcterms:created xsi:type="dcterms:W3CDTF">2020-10-09T08:48:59Z</dcterms:created>
  <dcterms:modified xsi:type="dcterms:W3CDTF">2023-03-14T19:30:59Z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0x010100B96E0168B75A8E43915B1A31C4EA5251</vt:lpwstr>
  </property>
</Properties>
</file>