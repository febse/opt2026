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lo\Documents\University\PhD\KMU\2021\Тема 3 update\"/>
    </mc:Choice>
  </mc:AlternateContent>
  <xr:revisionPtr revIDLastSave="0" documentId="13_ncr:1_{1065E420-6530-4E32-B0CB-E52B2369501F}" xr6:coauthVersionLast="47" xr6:coauthVersionMax="47" xr10:uidLastSave="{00000000-0000-0000-0000-000000000000}"/>
  <bookViews>
    <workbookView xWindow="-108" yWindow="-108" windowWidth="23256" windowHeight="12576" activeTab="2" xr2:uid="{C562EEFB-9239-4FBD-8AF2-5901FCE6B4FD}"/>
  </bookViews>
  <sheets>
    <sheet name="Задача 1" sheetId="1" r:id="rId1"/>
    <sheet name="Answer Report 1" sheetId="4" r:id="rId2"/>
    <sheet name="Sensitivity Report 1" sheetId="5" r:id="rId3"/>
  </sheets>
  <definedNames>
    <definedName name="solver_adj" localSheetId="0" hidden="1">'Задача 1'!$B$12:$B$13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'Задача 1'!$E$7:$E$9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1</definedName>
    <definedName name="solver_nwt" localSheetId="0" hidden="1">1</definedName>
    <definedName name="solver_opt" localSheetId="0" hidden="1">'Задача 1'!$F$3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hs1" localSheetId="0" hidden="1">'Задача 1'!$G$7:$G$9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8" i="5" l="1"/>
  <c r="E19" i="5"/>
  <c r="H20" i="5"/>
  <c r="G20" i="5"/>
  <c r="K15" i="5"/>
  <c r="J15" i="5"/>
  <c r="K9" i="5"/>
  <c r="J9" i="5"/>
  <c r="D13" i="1"/>
  <c r="D12" i="1"/>
  <c r="H3" i="1"/>
  <c r="F3" i="1" a="1"/>
  <c r="F3" i="1" s="1"/>
  <c r="E7" i="1" l="1" a="1"/>
  <c r="E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<sst xmlns="http://schemas.openxmlformats.org/spreadsheetml/2006/main" count="108" uniqueCount="70">
  <si>
    <t>x1</t>
  </si>
  <si>
    <t>x2</t>
  </si>
  <si>
    <t>c</t>
  </si>
  <si>
    <t>z(x)</t>
  </si>
  <si>
    <t>A</t>
  </si>
  <si>
    <t>b</t>
  </si>
  <si>
    <t>Ax</t>
  </si>
  <si>
    <t>ресурс 1</t>
  </si>
  <si>
    <t>ресурс 2</t>
  </si>
  <si>
    <t>ресурс 3</t>
  </si>
  <si>
    <t>Microsoft Excel 16.0 Answer Report</t>
  </si>
  <si>
    <t>Worksheet: [Тема 3 - задача 1.xlsx]Задача 1</t>
  </si>
  <si>
    <t>Result: Solver found a solution.  All Constraints and optimality conditions are satisfied.</t>
  </si>
  <si>
    <t>Solver Engine</t>
  </si>
  <si>
    <t>Engine: Simplex LP</t>
  </si>
  <si>
    <t>Iterations: 3 Subproblems: 0</t>
  </si>
  <si>
    <t>Solver Options</t>
  </si>
  <si>
    <t>Max Time Unlimited,  Iterations Unlimited, Precision 0.000001, Use Automatic Scaling</t>
  </si>
  <si>
    <t>Max Subproblems Unlimited, Max Integer Sols Unlimited, Integer Tolerance 1%, Assume NonNegative</t>
  </si>
  <si>
    <t>Objective Cell (Max)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</si>
  <si>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</si>
  <si>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</si>
  <si>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</si>
  <si>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</si>
  <si>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</si>
  <si>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</si>
  <si>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</si>
  <si>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</si>
  <si>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</si>
  <si>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</si>
  <si>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Slack</t>
  </si>
  <si>
    <t>$F$3</t>
  </si>
  <si>
    <t>$B$12</t>
  </si>
  <si>
    <t>x1 A</t>
  </si>
  <si>
    <t>Contin</t>
  </si>
  <si>
    <t>$B$13</t>
  </si>
  <si>
    <t>x2 A</t>
  </si>
  <si>
    <t>$E$7</t>
  </si>
  <si>
    <t>ресурс 1 Ax</t>
  </si>
  <si>
    <t>$E$7&lt;=$G$7</t>
  </si>
  <si>
    <t>Binding</t>
  </si>
  <si>
    <t>$E$8</t>
  </si>
  <si>
    <t>ресурс 2 Ax</t>
  </si>
  <si>
    <t>$E$8&lt;=$G$8</t>
  </si>
  <si>
    <t>Not Binding</t>
  </si>
  <si>
    <t>$E$9</t>
  </si>
  <si>
    <t>ресурс 3 Ax</t>
  </si>
  <si>
    <t>$E$9&lt;=$G$9</t>
  </si>
  <si>
    <t>Microsoft Excel 16.0 Sensitivity Report</t>
  </si>
  <si>
    <t>Final</t>
  </si>
  <si>
    <t>Value</t>
  </si>
  <si>
    <t>Reduced</t>
  </si>
  <si>
    <t>Cost</t>
  </si>
  <si>
    <t>Objective</t>
  </si>
  <si>
    <t>Coefficient</t>
  </si>
  <si>
    <t>Allowable</t>
  </si>
  <si>
    <t>Increase</t>
  </si>
  <si>
    <t>Decrease</t>
  </si>
  <si>
    <t>Shadow</t>
  </si>
  <si>
    <t>Price</t>
  </si>
  <si>
    <t>Constraint</t>
  </si>
  <si>
    <t>R.H. Side</t>
  </si>
  <si>
    <t>дефицитен</t>
  </si>
  <si>
    <t>недефицитен</t>
  </si>
  <si>
    <t>lower limit</t>
  </si>
  <si>
    <t>upper limit</t>
  </si>
  <si>
    <t>Report Created: 10/26/2021 10:20:59 PM</t>
  </si>
  <si>
    <t>Solution Time: 0.015 Seconds.</t>
  </si>
  <si>
    <t>Report Created: 10/26/2021 10:21:00 PM</t>
  </si>
  <si>
    <t>new z(x)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</si>
</sst>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1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4" xfId="0" applyFill="1" applyBorder="1" applyAlignment="1"/>
    <xf numFmtId="0" fontId="0" fillId="0" borderId="5" xfId="0" applyFill="1" applyBorder="1" applyAlignment="1"/>
    <xf numFmtId="0" fontId="0" fillId="0" borderId="4" xfId="0" applyNumberFormat="1" applyFill="1" applyBorder="1" applyAlignment="1"/>
    <xf numFmtId="0" fontId="0" fillId="0" borderId="5" xfId="0" applyNumberFormat="1" applyFill="1" applyBorder="1" applyAlignment="1"/>
    <xf numFmtId="0" fontId="0" fillId="2" borderId="4" xfId="0" applyNumberFormat="1" applyFill="1" applyBorder="1" applyAlignment="1"/>
    <xf numFmtId="0" fontId="0" fillId="2" borderId="5" xfId="0" applyNumberFormat="1" applyFill="1" applyBorder="1" applyAlignment="1"/>
    <xf numFmtId="0" fontId="0" fillId="0" borderId="0" xfId="0" applyAlignment="1">
      <alignment horizontal="right"/>
    </xf>
    <xf numFmtId="0" fontId="2" fillId="0" borderId="3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7C7AB-528F-4FB1-8053-D8D50DEB40A7}">
  <dimension ref="A1:H13"/>
  <sheetViews>
    <sheetView workbookViewId="0">
      <selection activeCell="F3" sqref="F3"/>
    </sheetView>
  </sheetViews>
  <sheetFormatPr defaultRowHeight="14.4" x14ac:dyDescent="0.3"/>
  <sheetData>
    <row r="1" spans="1:8" x14ac:dyDescent="0.3">
      <c r="B1" s="1" t="s">
        <v>0</v>
      </c>
      <c r="C1" s="1" t="s">
        <v>1</v>
      </c>
    </row>
    <row r="2" spans="1:8" x14ac:dyDescent="0.3">
      <c r="B2" s="1" t="s">
        <v>2</v>
      </c>
      <c r="F2" s="1" t="s">
        <v>3</v>
      </c>
    </row>
    <row r="3" spans="1:8" x14ac:dyDescent="0.3">
      <c r="B3">
        <v>1</v>
      </c>
      <c r="C3">
        <v>1</v>
      </c>
      <c r="F3" cm="1">
        <f t="array" ref="F3">MMULT(B3:C3,B12:B13)</f>
        <v>5.3333333333333339</v>
      </c>
      <c r="H3">
        <f>48/9</f>
        <v>5.333333333333333</v>
      </c>
    </row>
    <row r="6" spans="1:8" x14ac:dyDescent="0.3">
      <c r="B6" s="1" t="s">
        <v>4</v>
      </c>
      <c r="E6" s="1" t="s">
        <v>6</v>
      </c>
      <c r="G6" s="1" t="s">
        <v>5</v>
      </c>
    </row>
    <row r="7" spans="1:8" x14ac:dyDescent="0.3">
      <c r="A7" t="s">
        <v>7</v>
      </c>
      <c r="B7">
        <v>-1</v>
      </c>
      <c r="C7">
        <v>2</v>
      </c>
      <c r="E7" cm="1">
        <f t="array" ref="E7:E9">MMULT(B7:C9,B12:B13)</f>
        <v>4.0000000000000009</v>
      </c>
      <c r="G7">
        <v>4</v>
      </c>
    </row>
    <row r="8" spans="1:8" x14ac:dyDescent="0.3">
      <c r="A8" t="s">
        <v>8</v>
      </c>
      <c r="B8">
        <v>4</v>
      </c>
      <c r="C8">
        <v>-3</v>
      </c>
      <c r="E8">
        <v>-0.44444444444444642</v>
      </c>
      <c r="G8">
        <v>12</v>
      </c>
    </row>
    <row r="9" spans="1:8" x14ac:dyDescent="0.3">
      <c r="A9" t="s">
        <v>9</v>
      </c>
      <c r="B9">
        <v>7</v>
      </c>
      <c r="C9">
        <v>4</v>
      </c>
      <c r="E9">
        <v>28.000000000000004</v>
      </c>
      <c r="G9">
        <v>28</v>
      </c>
    </row>
    <row r="12" spans="1:8" x14ac:dyDescent="0.3">
      <c r="A12" s="1" t="s">
        <v>0</v>
      </c>
      <c r="B12">
        <v>2.2222222222222223</v>
      </c>
      <c r="D12">
        <f>20/9</f>
        <v>2.2222222222222223</v>
      </c>
    </row>
    <row r="13" spans="1:8" x14ac:dyDescent="0.3">
      <c r="A13" s="1" t="s">
        <v>1</v>
      </c>
      <c r="B13">
        <v>3.1111111111111116</v>
      </c>
      <c r="D13">
        <f>28/9</f>
        <v>3.1111111111111112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DAE85-AAC8-4A86-A6AC-C2C969B4815A}">
  <dimension ref="A1:I29"/>
  <sheetViews>
    <sheetView showGridLines="0" topLeftCell="A7" workbookViewId="0">
      <selection activeCell="G28" sqref="G28"/>
    </sheetView>
  </sheetViews>
  <sheetFormatPr defaultRowHeight="14.4" x14ac:dyDescent="0.3"/>
  <cols>
    <col min="1" max="1" width="2.33203125" customWidth="1"/>
    <col min="2" max="2" width="5" bestFit="1" customWidth="1"/>
    <col min="3" max="3" width="10.5546875" bestFit="1" customWidth="1"/>
    <col min="4" max="4" width="12.6640625" bestFit="1" customWidth="1"/>
    <col min="5" max="5" width="12" bestFit="1" customWidth="1"/>
    <col min="6" max="6" width="10.44140625" bestFit="1" customWidth="1"/>
    <col min="7" max="7" width="12" bestFit="1" customWidth="1"/>
  </cols>
  <sheetData>
    <row r="1" spans="1:5" x14ac:dyDescent="0.3">
      <c r="A1" s="1" t="s">
        <v>10</v>
      </c>
    </row>
    <row r="2" spans="1:5" x14ac:dyDescent="0.3">
      <c r="A2" s="1" t="s">
        <v>11</v>
      </c>
    </row>
    <row r="3" spans="1:5" x14ac:dyDescent="0.3">
      <c r="A3" s="1" t="s">
        <v>66</v>
      </c>
    </row>
    <row r="4" spans="1:5" x14ac:dyDescent="0.3">
      <c r="A4" s="1" t="s">
        <v>12</v>
      </c>
    </row>
    <row r="5" spans="1:5" x14ac:dyDescent="0.3">
      <c r="A5" s="1" t="s">
        <v>13</v>
      </c>
    </row>
    <row r="6" spans="1:5" x14ac:dyDescent="0.3">
      <c r="A6" s="1"/>
      <c r="B6" t="s">
        <v>14</v>
      </c>
    </row>
    <row r="7" spans="1:5" x14ac:dyDescent="0.3">
      <c r="A7" s="1"/>
      <c r="B7" t="s">
        <v>67</v>
      </c>
    </row>
    <row r="8" spans="1:5" x14ac:dyDescent="0.3">
      <c r="A8" s="1"/>
      <c r="B8" t="s">
        <v>15</v>
      </c>
    </row>
    <row r="9" spans="1:5" x14ac:dyDescent="0.3">
      <c r="A9" s="1" t="s">
        <v>16</v>
      </c>
    </row>
    <row r="10" spans="1:5" x14ac:dyDescent="0.3">
      <c r="B10" t="s">
        <v>17</v>
      </c>
    </row>
    <row r="11" spans="1:5" x14ac:dyDescent="0.3">
      <c r="B11" t="s">
        <v>18</v>
      </c>
    </row>
    <row r="14" spans="1:5" ht="15" thickBot="1" x14ac:dyDescent="0.35">
      <c r="A14" t="s">
        <v>19</v>
      </c>
    </row>
    <row r="15" spans="1:5" ht="15" thickBot="1" x14ac:dyDescent="0.35">
      <c r="B15" s="9" t="s">
        <v>20</v>
      </c>
      <c r="C15" s="9" t="s">
        <v>21</v>
      </c>
      <c r="D15" s="9" t="s">
        <v>22</v>
      </c>
      <c r="E15" s="9" t="s">
        <v>23</v>
      </c>
    </row>
    <row r="16" spans="1:5" ht="15" thickBot="1" x14ac:dyDescent="0.35">
      <c r="B16" s="2" t="s">
        <v>31</v>
      </c>
      <c r="C16" s="2" t="s">
        <v>3</v>
      </c>
      <c r="D16" s="4">
        <v>2</v>
      </c>
      <c r="E16" s="6">
        <v>5.3333333333333339</v>
      </c>
    </row>
    <row r="19" spans="1:9" ht="15" thickBot="1" x14ac:dyDescent="0.35">
      <c r="A19" t="s">
        <v>24</v>
      </c>
    </row>
    <row r="20" spans="1:9" ht="15" thickBot="1" x14ac:dyDescent="0.35">
      <c r="B20" s="9" t="s">
        <v>20</v>
      </c>
      <c r="C20" s="9" t="s">
        <v>21</v>
      </c>
      <c r="D20" s="9" t="s">
        <v>22</v>
      </c>
      <c r="E20" s="9" t="s">
        <v>23</v>
      </c>
      <c r="F20" s="9" t="s">
        <v>25</v>
      </c>
    </row>
    <row r="21" spans="1:9" x14ac:dyDescent="0.3">
      <c r="B21" s="3" t="s">
        <v>32</v>
      </c>
      <c r="C21" s="3" t="s">
        <v>33</v>
      </c>
      <c r="D21" s="5">
        <v>1</v>
      </c>
      <c r="E21" s="7">
        <v>2.2222222222222223</v>
      </c>
      <c r="F21" s="3" t="s">
        <v>34</v>
      </c>
    </row>
    <row r="22" spans="1:9" ht="15" thickBot="1" x14ac:dyDescent="0.35">
      <c r="B22" s="2" t="s">
        <v>35</v>
      </c>
      <c r="C22" s="2" t="s">
        <v>36</v>
      </c>
      <c r="D22" s="4">
        <v>1</v>
      </c>
      <c r="E22" s="6">
        <v>3.1111111111111116</v>
      </c>
      <c r="F22" s="2" t="s">
        <v>34</v>
      </c>
    </row>
    <row r="25" spans="1:9" ht="15" thickBot="1" x14ac:dyDescent="0.35">
      <c r="A25" t="s">
        <v>26</v>
      </c>
    </row>
    <row r="26" spans="1:9" ht="15" thickBot="1" x14ac:dyDescent="0.35">
      <c r="B26" s="9" t="s">
        <v>20</v>
      </c>
      <c r="C26" s="9" t="s">
        <v>21</v>
      </c>
      <c r="D26" s="9" t="s">
        <v>27</v>
      </c>
      <c r="E26" s="9" t="s">
        <v>28</v>
      </c>
      <c r="F26" s="9" t="s">
        <v>29</v>
      </c>
      <c r="G26" s="9" t="s">
        <v>30</v>
      </c>
    </row>
    <row r="27" spans="1:9" x14ac:dyDescent="0.3">
      <c r="B27" s="3" t="s">
        <v>37</v>
      </c>
      <c r="C27" s="3" t="s">
        <v>38</v>
      </c>
      <c r="D27" s="5">
        <v>4.0000000000000009</v>
      </c>
      <c r="E27" s="3" t="s">
        <v>39</v>
      </c>
      <c r="F27" s="3" t="s">
        <v>40</v>
      </c>
      <c r="G27" s="3">
        <v>0</v>
      </c>
      <c r="I27" t="s">
        <v>62</v>
      </c>
    </row>
    <row r="28" spans="1:9" x14ac:dyDescent="0.3">
      <c r="B28" s="3" t="s">
        <v>41</v>
      </c>
      <c r="C28" s="3" t="s">
        <v>42</v>
      </c>
      <c r="D28" s="5">
        <v>-0.44444444444444642</v>
      </c>
      <c r="E28" s="3" t="s">
        <v>43</v>
      </c>
      <c r="F28" s="3" t="s">
        <v>44</v>
      </c>
      <c r="G28" s="3">
        <v>12.444444444444446</v>
      </c>
      <c r="I28" t="s">
        <v>63</v>
      </c>
    </row>
    <row r="29" spans="1:9" ht="15" thickBot="1" x14ac:dyDescent="0.35">
      <c r="B29" s="2" t="s">
        <v>45</v>
      </c>
      <c r="C29" s="2" t="s">
        <v>46</v>
      </c>
      <c r="D29" s="4">
        <v>28.000000000000004</v>
      </c>
      <c r="E29" s="2" t="s">
        <v>47</v>
      </c>
      <c r="F29" s="2" t="s">
        <v>40</v>
      </c>
      <c r="G29" s="2">
        <v>0</v>
      </c>
      <c r="I29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6ED6B-F700-4F32-BA4D-782B17364CF3}">
  <dimension ref="A1:K20"/>
  <sheetViews>
    <sheetView showGridLines="0" tabSelected="1" workbookViewId="0">
      <selection activeCell="N21" sqref="N21"/>
    </sheetView>
  </sheetViews>
  <sheetFormatPr defaultRowHeight="14.4" x14ac:dyDescent="0.3"/>
  <cols>
    <col min="1" max="1" width="2.33203125" customWidth="1"/>
    <col min="2" max="2" width="6.109375" bestFit="1" customWidth="1"/>
    <col min="3" max="3" width="10.5546875" bestFit="1" customWidth="1"/>
    <col min="4" max="4" width="12.6640625" bestFit="1" customWidth="1"/>
    <col min="5" max="5" width="12" bestFit="1" customWidth="1"/>
    <col min="6" max="6" width="10.109375" bestFit="1" customWidth="1"/>
    <col min="7" max="7" width="9.21875" bestFit="1" customWidth="1"/>
    <col min="8" max="8" width="12" bestFit="1" customWidth="1"/>
    <col min="11" max="11" width="13.88671875" customWidth="1"/>
  </cols>
  <sheetData>
    <row r="1" spans="1:11" x14ac:dyDescent="0.3">
      <c r="A1" s="1" t="s">
        <v>48</v>
      </c>
    </row>
    <row r="2" spans="1:11" x14ac:dyDescent="0.3">
      <c r="A2" s="1" t="s">
        <v>11</v>
      </c>
    </row>
    <row r="3" spans="1:11" x14ac:dyDescent="0.3">
      <c r="A3" s="1" t="s">
        <v>68</v>
      </c>
    </row>
    <row r="6" spans="1:11" ht="15" thickBot="1" x14ac:dyDescent="0.35">
      <c r="A6" t="s">
        <v>24</v>
      </c>
    </row>
    <row r="7" spans="1:11" x14ac:dyDescent="0.3">
      <c r="B7" s="10"/>
      <c r="C7" s="10"/>
      <c r="D7" s="10" t="s">
        <v>49</v>
      </c>
      <c r="E7" s="10" t="s">
        <v>51</v>
      </c>
      <c r="F7" s="10" t="s">
        <v>53</v>
      </c>
      <c r="G7" s="10" t="s">
        <v>55</v>
      </c>
      <c r="H7" s="10" t="s">
        <v>55</v>
      </c>
    </row>
    <row r="8" spans="1:11" ht="15" thickBot="1" x14ac:dyDescent="0.35">
      <c r="B8" s="11" t="s">
        <v>20</v>
      </c>
      <c r="C8" s="11" t="s">
        <v>21</v>
      </c>
      <c r="D8" s="11" t="s">
        <v>50</v>
      </c>
      <c r="E8" s="11" t="s">
        <v>52</v>
      </c>
      <c r="F8" s="11" t="s">
        <v>54</v>
      </c>
      <c r="G8" s="11" t="s">
        <v>56</v>
      </c>
      <c r="H8" s="11" t="s">
        <v>57</v>
      </c>
      <c r="J8" s="12" t="s">
        <v>64</v>
      </c>
      <c r="K8" s="12" t="s">
        <v>65</v>
      </c>
    </row>
    <row r="9" spans="1:11" x14ac:dyDescent="0.3">
      <c r="B9" s="3" t="s">
        <v>32</v>
      </c>
      <c r="C9" s="3" t="s">
        <v>33</v>
      </c>
      <c r="D9" s="3">
        <v>2.2222222222222223</v>
      </c>
      <c r="E9" s="3">
        <v>0</v>
      </c>
      <c r="F9" s="3">
        <v>1</v>
      </c>
      <c r="G9" s="3">
        <v>0.75</v>
      </c>
      <c r="H9" s="3">
        <v>1.5</v>
      </c>
      <c r="J9">
        <f>F9-H9</f>
        <v>-0.5</v>
      </c>
      <c r="K9">
        <f>F9+G9</f>
        <v>1.75</v>
      </c>
    </row>
    <row r="10" spans="1:11" ht="15" thickBot="1" x14ac:dyDescent="0.35">
      <c r="B10" s="2" t="s">
        <v>35</v>
      </c>
      <c r="C10" s="2" t="s">
        <v>36</v>
      </c>
      <c r="D10" s="2">
        <v>3.1111111111111116</v>
      </c>
      <c r="E10" s="2">
        <v>0</v>
      </c>
      <c r="F10" s="2">
        <v>1</v>
      </c>
      <c r="G10" s="2">
        <v>1E+30</v>
      </c>
      <c r="H10" s="2">
        <v>0.42857142857142855</v>
      </c>
    </row>
    <row r="12" spans="1:11" ht="15" thickBot="1" x14ac:dyDescent="0.35">
      <c r="A12" t="s">
        <v>26</v>
      </c>
    </row>
    <row r="13" spans="1:11" x14ac:dyDescent="0.3">
      <c r="B13" s="10"/>
      <c r="C13" s="10"/>
      <c r="D13" s="10" t="s">
        <v>49</v>
      </c>
      <c r="E13" s="10" t="s">
        <v>58</v>
      </c>
      <c r="F13" s="10" t="s">
        <v>60</v>
      </c>
      <c r="G13" s="10" t="s">
        <v>55</v>
      </c>
      <c r="H13" s="10" t="s">
        <v>55</v>
      </c>
    </row>
    <row r="14" spans="1:11" ht="15" thickBot="1" x14ac:dyDescent="0.35">
      <c r="B14" s="11" t="s">
        <v>20</v>
      </c>
      <c r="C14" s="11" t="s">
        <v>21</v>
      </c>
      <c r="D14" s="11" t="s">
        <v>50</v>
      </c>
      <c r="E14" s="11" t="s">
        <v>59</v>
      </c>
      <c r="F14" s="11" t="s">
        <v>61</v>
      </c>
      <c r="G14" s="11" t="s">
        <v>56</v>
      </c>
      <c r="H14" s="11" t="s">
        <v>57</v>
      </c>
      <c r="J14" s="12" t="s">
        <v>64</v>
      </c>
      <c r="K14" s="12" t="s">
        <v>65</v>
      </c>
    </row>
    <row r="15" spans="1:11" x14ac:dyDescent="0.3">
      <c r="B15" s="3" t="s">
        <v>37</v>
      </c>
      <c r="C15" s="3" t="s">
        <v>38</v>
      </c>
      <c r="D15" s="3">
        <v>4.0000000000000009</v>
      </c>
      <c r="E15" s="3">
        <v>0.16666666666666666</v>
      </c>
      <c r="F15" s="3">
        <v>4</v>
      </c>
      <c r="G15" s="3">
        <v>10.000000000000002</v>
      </c>
      <c r="H15" s="3">
        <v>6.0540540540540544</v>
      </c>
      <c r="J15">
        <f>F15-H15</f>
        <v>-2.0540540540540544</v>
      </c>
      <c r="K15">
        <f>F15+G15</f>
        <v>14.000000000000002</v>
      </c>
    </row>
    <row r="16" spans="1:11" x14ac:dyDescent="0.3">
      <c r="B16" s="3" t="s">
        <v>41</v>
      </c>
      <c r="C16" s="3" t="s">
        <v>42</v>
      </c>
      <c r="D16" s="3">
        <v>-0.44444444444444642</v>
      </c>
      <c r="E16" s="3">
        <v>0</v>
      </c>
      <c r="F16" s="3">
        <v>12</v>
      </c>
      <c r="G16" s="3">
        <v>1E+30</v>
      </c>
      <c r="H16" s="3">
        <v>12.444444444444445</v>
      </c>
    </row>
    <row r="17" spans="2:8" ht="15" thickBot="1" x14ac:dyDescent="0.35">
      <c r="B17" s="2" t="s">
        <v>45</v>
      </c>
      <c r="C17" s="2" t="s">
        <v>46</v>
      </c>
      <c r="D17" s="2">
        <v>28.000000000000004</v>
      </c>
      <c r="E17" s="2">
        <v>0.16666666666666669</v>
      </c>
      <c r="F17" s="2">
        <v>28</v>
      </c>
      <c r="G17" s="2">
        <v>44.8</v>
      </c>
      <c r="H17" s="2">
        <v>20</v>
      </c>
    </row>
    <row r="18" spans="2:8" x14ac:dyDescent="0.3">
      <c r="G18">
        <f>224/5</f>
        <v>44.8</v>
      </c>
    </row>
    <row r="19" spans="2:8" x14ac:dyDescent="0.3">
      <c r="E19">
        <f>1/6</f>
        <v>0.16666666666666666</v>
      </c>
      <c r="H19" s="8" t="s">
        <v>69</v>
      </c>
    </row>
    <row r="20" spans="2:8" x14ac:dyDescent="0.3">
      <c r="G20">
        <f>G15*E15</f>
        <v>1.666666666666667</v>
      </c>
      <c r="H20">
        <f>G20+'Задача 1'!F3</f>
        <v>7.0000000000000009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6E0168B75A8E43915B1A31C4EA5251" ma:contentTypeVersion="0" ma:contentTypeDescription="Create a new document." ma:contentTypeScope="" ma:versionID="31c4a13a74c0b3392105cdd013dfc44c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28ef70d2dfc52c4ccfbeb3bd0957f366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A961227-6E8C-47CB-827D-3BF82CD60E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F44D16A-0727-4D97-A343-56D5055D373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035137D-ED4A-4BD9-98FF-C0D4C6FF60F4}">
  <ds:schemaRefs>
    <ds:schemaRef ds:uri="http://purl.org/dc/terms/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purl.org/dc/dcmitype/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Задача 1</vt:lpstr>
      <vt:lpstr>Answer Report 1</vt:lpstr>
      <vt:lpstr>Sensitivity Report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 Hristova</dc:creator>
  <cp:lastModifiedBy>Gloria Hristova</cp:lastModifiedBy>
  <dcterms:created xsi:type="dcterms:W3CDTF">2020-10-30T07:00:23Z</dcterms:created>
  <dcterms:modified xsi:type="dcterms:W3CDTF">2021-10-26T19:44:16Z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0x010100B96E0168B75A8E43915B1A31C4EA5251</vt:lpwstr>
  </property>
</Properties>
</file>