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oyko Amarov\stats\opt2026\excel\"/>
    </mc:Choice>
  </mc:AlternateContent>
  <xr:revisionPtr revIDLastSave="0" documentId="13_ncr:1_{FD2DC2B9-E243-41CD-8159-C0A25E7E5DAB}" xr6:coauthVersionLast="47" xr6:coauthVersionMax="47" xr10:uidLastSave="{00000000-0000-0000-0000-000000000000}"/>
  <bookViews>
    <workbookView xWindow="27345" yWindow="5040" windowWidth="22725" windowHeight="11760" activeTab="3" xr2:uid="{00000000-000D-0000-FFFF-FFFF00000000}"/>
  </bookViews>
  <sheets>
    <sheet name="Answer Report 1" sheetId="2" r:id="rId1"/>
    <sheet name="Sensitivity Report 1" sheetId="3" r:id="rId2"/>
    <sheet name="Limits Report 1" sheetId="4" r:id="rId3"/>
    <sheet name="Sheet1" sheetId="1" r:id="rId4"/>
  </sheets>
  <definedNames>
    <definedName name="solver_adj" localSheetId="3" hidden="1">Sheet1!$H$2:$H$7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Sheet1!$C$8:$E$8</definedName>
    <definedName name="solver_lhs2" localSheetId="3" hidden="1">Sheet1!$H$2:$H$7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Sheet1!$F$8</definedName>
    <definedName name="solver_pre" localSheetId="3" hidden="1">0.000001</definedName>
    <definedName name="solver_rbv" localSheetId="3" hidden="1">1</definedName>
    <definedName name="solver_rel1" localSheetId="3" hidden="1">3</definedName>
    <definedName name="solver_rel2" localSheetId="3" hidden="1">1</definedName>
    <definedName name="solver_rhs1" localSheetId="3" hidden="1">Sheet1!$C$9:$E$9</definedName>
    <definedName name="solver_rhs2" localSheetId="3" hidden="1">Sheet1!$G$2:$G$7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2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D8" i="1"/>
  <c r="C8" i="1"/>
</calcChain>
</file>

<file path=xl/sharedStrings.xml><?xml version="1.0" encoding="utf-8"?>
<sst xmlns="http://schemas.openxmlformats.org/spreadsheetml/2006/main" count="168" uniqueCount="94">
  <si>
    <t>Food</t>
  </si>
  <si>
    <t>Amount</t>
  </si>
  <si>
    <t>Price</t>
  </si>
  <si>
    <t>Max</t>
  </si>
  <si>
    <t>Oatmeals</t>
  </si>
  <si>
    <t>28 g</t>
  </si>
  <si>
    <t>Chicken</t>
  </si>
  <si>
    <t>100 g</t>
  </si>
  <si>
    <t>Eggs</t>
  </si>
  <si>
    <t>two</t>
  </si>
  <si>
    <t>Milk</t>
  </si>
  <si>
    <t>237 ml</t>
  </si>
  <si>
    <t>Cherry pie</t>
  </si>
  <si>
    <t>170 g</t>
  </si>
  <si>
    <t>Pork with beans</t>
  </si>
  <si>
    <t>260 g</t>
  </si>
  <si>
    <t>Variables</t>
  </si>
  <si>
    <t>Microsoft Excel 16.0 Answer Report</t>
  </si>
  <si>
    <t>Worksheet: [diet.xlsx]Sheet1</t>
  </si>
  <si>
    <t>Report Created: 3/23/2025 5:33:41 PM</t>
  </si>
  <si>
    <t>Result: Solver found a solution.  All Constraints and optimality conditions are satisfied.</t>
  </si>
  <si>
    <t>Solver Engine</t>
  </si>
  <si>
    <t>Engine: Simplex LP</t>
  </si>
  <si>
    <t>Solution Time: 0.063 Seconds.</t>
  </si>
  <si>
    <t>Iterations: 4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</si>
  <si>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</si>
  <si>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</si>
  <si>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</si>
  <si>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</si>
  <si>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</si>
  <si>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</si>
  <si>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</si>
  <si>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</si>
  <si>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</si>
  <si>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</si>
  <si>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</si>
  <si>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</si>
  <si>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</si>
  <si>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</si>
  <si>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</si>
  <si>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$H$9</t>
  </si>
  <si>
    <t>Total cost (objective) Variables</t>
  </si>
  <si>
    <t>$H$2</t>
  </si>
  <si>
    <t>28 g Variables</t>
  </si>
  <si>
    <t>Contin</t>
  </si>
  <si>
    <t>$H$3</t>
  </si>
  <si>
    <t>100 g Variables</t>
  </si>
  <si>
    <t>$H$4</t>
  </si>
  <si>
    <t>two Variables</t>
  </si>
  <si>
    <t>$H$5</t>
  </si>
  <si>
    <t>237 ml Variables</t>
  </si>
  <si>
    <t>$H$6</t>
  </si>
  <si>
    <t>170 g Variables</t>
  </si>
  <si>
    <t>$H$7</t>
  </si>
  <si>
    <t>260 g Variables</t>
  </si>
  <si>
    <t>$H$11</t>
  </si>
  <si>
    <t>Total Calories Used</t>
  </si>
  <si>
    <t>$H$11&gt;=$I$11</t>
  </si>
  <si>
    <t>Binding</t>
  </si>
  <si>
    <t>$H$12</t>
  </si>
  <si>
    <t>Total Protein Used</t>
  </si>
  <si>
    <t>$H$12&gt;=$I$12</t>
  </si>
  <si>
    <t>Not Binding</t>
  </si>
  <si>
    <t>$H$13</t>
  </si>
  <si>
    <t>Total Calcium Used</t>
  </si>
  <si>
    <t>$H$13&gt;=$I$13</t>
  </si>
  <si>
    <t>$H$2:$H$7</t>
  </si>
  <si>
    <t>$H$11:$H$13 &gt;= $I$11:$I$13</t>
  </si>
  <si>
    <t>Microsoft Excel 16.0 Sensitivity Report</t>
  </si>
  <si>
    <t>Report Created: 3/23/2025 5:33:42 PM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</si>
  <si>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</si>
  <si>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</si>
  <si>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</si>
  <si>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</si>
  <si>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</si>
  <si>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</si>
  <si>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</si>
  <si>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</si>
  <si>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</si>
  <si>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</si>
  <si>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Constraint</t>
  </si>
  <si>
    <t>R.H. Side</t>
  </si>
  <si>
    <t>Microsoft Excel 16.0 Limits Report</t>
  </si>
  <si>
    <t>Variable</t>
  </si>
  <si>
    <t>Lower</t>
  </si>
  <si>
    <t>Limit</t>
  </si>
  <si>
    <t>Result</t>
  </si>
  <si>
    <t>Upper</t>
  </si>
  <si>
    <t>kCal</t>
  </si>
  <si>
    <t>Required</t>
  </si>
  <si>
    <t>Total</t>
  </si>
  <si>
    <t>Protein (g)</t>
  </si>
  <si>
    <t>Calcium (mg)</t>
  </si>
  <si>
    <t>Price (USD/portion)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</si>
</sst>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0" fillId="0" borderId="6" xfId="0" applyBorder="1"/>
    <xf numFmtId="0" fontId="3" fillId="0" borderId="5" xfId="0" applyFont="1" applyBorder="1" applyAlignment="1">
      <alignment horizontal="center"/>
    </xf>
    <xf numFmtId="0" fontId="0" fillId="0" borderId="7" xfId="0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165B0-D215-4524-B96D-F9D129D81244}">
  <dimension ref="A1:G37"/>
  <sheetViews>
    <sheetView showGridLines="0" workbookViewId="0">
      <selection activeCell="C37" sqref="C37"/>
    </sheetView>
  </sheetViews>
  <sheetFormatPr defaultRowHeight="15" outlineLevelRow="1" x14ac:dyDescent="0.25"/>
  <cols>
    <col min="1" max="1" width="2.28515625" customWidth="1"/>
    <col min="2" max="2" width="6.28515625" bestFit="1" customWidth="1"/>
    <col min="3" max="3" width="26.42578125" bestFit="1" customWidth="1"/>
    <col min="4" max="5" width="12.7109375" bestFit="1" customWidth="1"/>
    <col min="6" max="6" width="10.42578125" bestFit="1" customWidth="1"/>
    <col min="7" max="7" width="12" bestFit="1" customWidth="1"/>
  </cols>
  <sheetData>
    <row r="1" spans="1:5" x14ac:dyDescent="0.25">
      <c r="A1" s="3" t="s">
        <v>17</v>
      </c>
    </row>
    <row r="2" spans="1:5" x14ac:dyDescent="0.25">
      <c r="A2" s="3" t="s">
        <v>18</v>
      </c>
    </row>
    <row r="3" spans="1:5" x14ac:dyDescent="0.25">
      <c r="A3" s="3" t="s">
        <v>19</v>
      </c>
    </row>
    <row r="4" spans="1:5" x14ac:dyDescent="0.25">
      <c r="A4" s="3" t="s">
        <v>20</v>
      </c>
    </row>
    <row r="5" spans="1:5" x14ac:dyDescent="0.25">
      <c r="A5" s="3" t="s">
        <v>21</v>
      </c>
    </row>
    <row r="6" spans="1:5" hidden="1" outlineLevel="1" x14ac:dyDescent="0.25">
      <c r="A6" s="3"/>
      <c r="B6" t="s">
        <v>22</v>
      </c>
    </row>
    <row r="7" spans="1:5" hidden="1" outlineLevel="1" x14ac:dyDescent="0.25">
      <c r="A7" s="3"/>
      <c r="B7" t="s">
        <v>23</v>
      </c>
    </row>
    <row r="8" spans="1:5" hidden="1" outlineLevel="1" x14ac:dyDescent="0.25">
      <c r="A8" s="3"/>
      <c r="B8" t="s">
        <v>24</v>
      </c>
    </row>
    <row r="9" spans="1:5" collapsed="1" x14ac:dyDescent="0.25">
      <c r="A9" s="3" t="s">
        <v>25</v>
      </c>
    </row>
    <row r="10" spans="1:5" hidden="1" outlineLevel="1" x14ac:dyDescent="0.25">
      <c r="B10" t="s">
        <v>26</v>
      </c>
    </row>
    <row r="11" spans="1:5" hidden="1" outlineLevel="1" x14ac:dyDescent="0.25">
      <c r="B11" t="s">
        <v>27</v>
      </c>
    </row>
    <row r="12" spans="1:5" collapsed="1" x14ac:dyDescent="0.25"/>
    <row r="14" spans="1:5" ht="15.75" thickBot="1" x14ac:dyDescent="0.3">
      <c r="A14" t="s">
        <v>28</v>
      </c>
    </row>
    <row r="15" spans="1:5" ht="15.75" thickBot="1" x14ac:dyDescent="0.3">
      <c r="B15" s="5" t="s">
        <v>29</v>
      </c>
      <c r="C15" s="5" t="s">
        <v>30</v>
      </c>
      <c r="D15" s="5" t="s">
        <v>31</v>
      </c>
      <c r="E15" s="5" t="s">
        <v>32</v>
      </c>
    </row>
    <row r="16" spans="1:5" ht="15.75" thickBot="1" x14ac:dyDescent="0.3">
      <c r="B16" s="4" t="s">
        <v>40</v>
      </c>
      <c r="C16" s="4" t="s">
        <v>41</v>
      </c>
      <c r="D16" s="4">
        <v>292.68292682926824</v>
      </c>
      <c r="E16" s="4">
        <v>68.181818181818187</v>
      </c>
    </row>
    <row r="19" spans="1:7" ht="15.75" thickBot="1" x14ac:dyDescent="0.3">
      <c r="A19" t="s">
        <v>33</v>
      </c>
    </row>
    <row r="20" spans="1:7" ht="15.75" thickBot="1" x14ac:dyDescent="0.3">
      <c r="B20" s="5" t="s">
        <v>29</v>
      </c>
      <c r="C20" s="5" t="s">
        <v>30</v>
      </c>
      <c r="D20" s="5" t="s">
        <v>31</v>
      </c>
      <c r="E20" s="5" t="s">
        <v>32</v>
      </c>
      <c r="F20" s="5" t="s">
        <v>34</v>
      </c>
    </row>
    <row r="21" spans="1:7" x14ac:dyDescent="0.25">
      <c r="B21" s="8" t="s">
        <v>66</v>
      </c>
      <c r="C21" s="7"/>
      <c r="D21" s="7"/>
      <c r="E21" s="7"/>
      <c r="F21" s="7"/>
    </row>
    <row r="22" spans="1:7" hidden="1" outlineLevel="1" x14ac:dyDescent="0.25">
      <c r="B22" s="6" t="s">
        <v>42</v>
      </c>
      <c r="C22" s="6" t="s">
        <v>43</v>
      </c>
      <c r="D22" s="6">
        <v>0</v>
      </c>
      <c r="E22" s="6">
        <v>22.72727272727273</v>
      </c>
      <c r="F22" s="6" t="s">
        <v>44</v>
      </c>
    </row>
    <row r="23" spans="1:7" hidden="1" outlineLevel="1" x14ac:dyDescent="0.25">
      <c r="B23" s="6" t="s">
        <v>45</v>
      </c>
      <c r="C23" s="6" t="s">
        <v>46</v>
      </c>
      <c r="D23" s="6">
        <v>12.195121951219509</v>
      </c>
      <c r="E23" s="6">
        <v>0</v>
      </c>
      <c r="F23" s="6" t="s">
        <v>44</v>
      </c>
    </row>
    <row r="24" spans="1:7" hidden="1" outlineLevel="1" x14ac:dyDescent="0.25">
      <c r="B24" s="6" t="s">
        <v>47</v>
      </c>
      <c r="C24" s="6" t="s">
        <v>48</v>
      </c>
      <c r="D24" s="6">
        <v>0</v>
      </c>
      <c r="E24" s="6">
        <v>0</v>
      </c>
      <c r="F24" s="6" t="s">
        <v>44</v>
      </c>
    </row>
    <row r="25" spans="1:7" hidden="1" outlineLevel="1" x14ac:dyDescent="0.25">
      <c r="B25" s="6" t="s">
        <v>49</v>
      </c>
      <c r="C25" s="6" t="s">
        <v>50</v>
      </c>
      <c r="D25" s="6">
        <v>0</v>
      </c>
      <c r="E25" s="6">
        <v>0</v>
      </c>
      <c r="F25" s="6" t="s">
        <v>44</v>
      </c>
    </row>
    <row r="26" spans="1:7" hidden="1" outlineLevel="1" x14ac:dyDescent="0.25">
      <c r="B26" s="6" t="s">
        <v>51</v>
      </c>
      <c r="C26" s="6" t="s">
        <v>52</v>
      </c>
      <c r="D26" s="6">
        <v>0</v>
      </c>
      <c r="E26" s="6">
        <v>0</v>
      </c>
      <c r="F26" s="6" t="s">
        <v>44</v>
      </c>
    </row>
    <row r="27" spans="1:7" ht="15.75" hidden="1" outlineLevel="1" thickBot="1" x14ac:dyDescent="0.3">
      <c r="B27" s="4" t="s">
        <v>53</v>
      </c>
      <c r="C27" s="4" t="s">
        <v>54</v>
      </c>
      <c r="D27" s="4">
        <v>0</v>
      </c>
      <c r="E27" s="4">
        <v>0</v>
      </c>
      <c r="F27" s="4" t="s">
        <v>44</v>
      </c>
    </row>
    <row r="28" spans="1:7" collapsed="1" x14ac:dyDescent="0.25"/>
    <row r="31" spans="1:7" ht="15.75" thickBot="1" x14ac:dyDescent="0.3">
      <c r="A31" t="s">
        <v>35</v>
      </c>
    </row>
    <row r="32" spans="1:7" ht="15.75" thickBot="1" x14ac:dyDescent="0.3">
      <c r="B32" s="5" t="s">
        <v>29</v>
      </c>
      <c r="C32" s="5" t="s">
        <v>30</v>
      </c>
      <c r="D32" s="5" t="s">
        <v>36</v>
      </c>
      <c r="E32" s="5" t="s">
        <v>37</v>
      </c>
      <c r="F32" s="5" t="s">
        <v>38</v>
      </c>
      <c r="G32" s="5" t="s">
        <v>39</v>
      </c>
    </row>
    <row r="33" spans="2:7" x14ac:dyDescent="0.25">
      <c r="B33" s="8" t="s">
        <v>67</v>
      </c>
      <c r="C33" s="7"/>
      <c r="D33" s="7"/>
      <c r="E33" s="7"/>
      <c r="F33" s="7"/>
      <c r="G33" s="7"/>
    </row>
    <row r="34" spans="2:7" hidden="1" outlineLevel="1" x14ac:dyDescent="0.25">
      <c r="B34" s="6" t="s">
        <v>55</v>
      </c>
      <c r="C34" s="6" t="s">
        <v>56</v>
      </c>
      <c r="D34" s="6">
        <v>2500.0000000000005</v>
      </c>
      <c r="E34" s="6" t="s">
        <v>57</v>
      </c>
      <c r="F34" s="6" t="s">
        <v>58</v>
      </c>
      <c r="G34" s="6">
        <v>0</v>
      </c>
    </row>
    <row r="35" spans="2:7" hidden="1" outlineLevel="1" x14ac:dyDescent="0.25">
      <c r="B35" s="6" t="s">
        <v>59</v>
      </c>
      <c r="C35" s="6" t="s">
        <v>60</v>
      </c>
      <c r="D35" s="6">
        <v>90.909090909090921</v>
      </c>
      <c r="E35" s="6" t="s">
        <v>61</v>
      </c>
      <c r="F35" s="6" t="s">
        <v>62</v>
      </c>
      <c r="G35" s="6">
        <v>10.909090909090921</v>
      </c>
    </row>
    <row r="36" spans="2:7" ht="15.75" hidden="1" outlineLevel="1" thickBot="1" x14ac:dyDescent="0.3">
      <c r="B36" s="4" t="s">
        <v>63</v>
      </c>
      <c r="C36" s="4" t="s">
        <v>64</v>
      </c>
      <c r="D36" s="4">
        <v>45.45454545454546</v>
      </c>
      <c r="E36" s="4" t="s">
        <v>65</v>
      </c>
      <c r="F36" s="4" t="s">
        <v>62</v>
      </c>
      <c r="G36" s="4">
        <v>37.45454545454546</v>
      </c>
    </row>
    <row r="37" spans="2:7" collapsed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A7D5-5C0D-4672-BAC3-F2FBA686E6CD}">
  <dimension ref="A1:H25"/>
  <sheetViews>
    <sheetView showGridLines="0" workbookViewId="0"/>
  </sheetViews>
  <sheetFormatPr defaultRowHeight="15" outlineLevelRow="1" x14ac:dyDescent="0.25"/>
  <cols>
    <col min="1" max="1" width="2.28515625" customWidth="1"/>
    <col min="2" max="2" width="6.28515625" bestFit="1" customWidth="1"/>
    <col min="3" max="3" width="16.85546875" bestFit="1" customWidth="1"/>
    <col min="4" max="5" width="12" bestFit="1" customWidth="1"/>
    <col min="6" max="6" width="10.140625" bestFit="1" customWidth="1"/>
    <col min="7" max="8" width="12" bestFit="1" customWidth="1"/>
  </cols>
  <sheetData>
    <row r="1" spans="1:8" x14ac:dyDescent="0.25">
      <c r="A1" s="3" t="s">
        <v>68</v>
      </c>
    </row>
    <row r="2" spans="1:8" x14ac:dyDescent="0.25">
      <c r="A2" s="3" t="s">
        <v>18</v>
      </c>
    </row>
    <row r="3" spans="1:8" x14ac:dyDescent="0.25">
      <c r="A3" s="3" t="s">
        <v>69</v>
      </c>
    </row>
    <row r="6" spans="1:8" ht="15.75" thickBot="1" x14ac:dyDescent="0.3">
      <c r="A6" t="s">
        <v>33</v>
      </c>
    </row>
    <row r="7" spans="1:8" x14ac:dyDescent="0.25">
      <c r="B7" s="9"/>
      <c r="C7" s="9"/>
      <c r="D7" s="9" t="s">
        <v>70</v>
      </c>
      <c r="E7" s="9" t="s">
        <v>72</v>
      </c>
      <c r="F7" s="9" t="s">
        <v>74</v>
      </c>
      <c r="G7" s="9" t="s">
        <v>76</v>
      </c>
      <c r="H7" s="9" t="s">
        <v>76</v>
      </c>
    </row>
    <row r="8" spans="1:8" ht="15.75" thickBot="1" x14ac:dyDescent="0.3">
      <c r="B8" s="10" t="s">
        <v>29</v>
      </c>
      <c r="C8" s="10" t="s">
        <v>30</v>
      </c>
      <c r="D8" s="10" t="s">
        <v>71</v>
      </c>
      <c r="E8" s="10" t="s">
        <v>73</v>
      </c>
      <c r="F8" s="10" t="s">
        <v>75</v>
      </c>
      <c r="G8" s="10" t="s">
        <v>77</v>
      </c>
      <c r="H8" s="10" t="s">
        <v>78</v>
      </c>
    </row>
    <row r="9" spans="1:8" x14ac:dyDescent="0.25">
      <c r="B9" s="8" t="s">
        <v>66</v>
      </c>
      <c r="C9" s="7"/>
      <c r="D9" s="7"/>
      <c r="E9" s="7"/>
      <c r="F9" s="7"/>
      <c r="G9" s="7"/>
      <c r="H9" s="7"/>
    </row>
    <row r="10" spans="1:8" hidden="1" outlineLevel="1" x14ac:dyDescent="0.25">
      <c r="B10" s="6" t="s">
        <v>42</v>
      </c>
      <c r="C10" s="6" t="s">
        <v>43</v>
      </c>
      <c r="D10" s="6">
        <v>22.72727272727273</v>
      </c>
      <c r="E10" s="6">
        <v>0</v>
      </c>
      <c r="F10" s="6">
        <v>3</v>
      </c>
      <c r="G10" s="6">
        <v>2.2380952380952386</v>
      </c>
      <c r="H10" s="6">
        <v>3</v>
      </c>
    </row>
    <row r="11" spans="1:8" hidden="1" outlineLevel="1" x14ac:dyDescent="0.25">
      <c r="B11" s="6" t="s">
        <v>45</v>
      </c>
      <c r="C11" s="6" t="s">
        <v>46</v>
      </c>
      <c r="D11" s="6">
        <v>0</v>
      </c>
      <c r="E11" s="6">
        <v>18.409090909090907</v>
      </c>
      <c r="F11" s="6">
        <v>24</v>
      </c>
      <c r="G11" s="6">
        <v>1E+30</v>
      </c>
      <c r="H11" s="6">
        <v>18.409090909090907</v>
      </c>
    </row>
    <row r="12" spans="1:8" hidden="1" outlineLevel="1" x14ac:dyDescent="0.25">
      <c r="B12" s="6" t="s">
        <v>47</v>
      </c>
      <c r="C12" s="6" t="s">
        <v>48</v>
      </c>
      <c r="D12" s="6">
        <v>0</v>
      </c>
      <c r="E12" s="6">
        <v>8.6363636363636385</v>
      </c>
      <c r="F12" s="6">
        <v>13</v>
      </c>
      <c r="G12" s="6">
        <v>1E+30</v>
      </c>
      <c r="H12" s="6">
        <v>8.6363636363636385</v>
      </c>
    </row>
    <row r="13" spans="1:8" hidden="1" outlineLevel="1" x14ac:dyDescent="0.25">
      <c r="B13" s="6" t="s">
        <v>49</v>
      </c>
      <c r="C13" s="6" t="s">
        <v>50</v>
      </c>
      <c r="D13" s="6">
        <v>0</v>
      </c>
      <c r="E13" s="6">
        <v>4.6363636363636367</v>
      </c>
      <c r="F13" s="6">
        <v>9</v>
      </c>
      <c r="G13" s="6">
        <v>1E+30</v>
      </c>
      <c r="H13" s="6">
        <v>4.6363636363636367</v>
      </c>
    </row>
    <row r="14" spans="1:8" hidden="1" outlineLevel="1" x14ac:dyDescent="0.25">
      <c r="B14" s="6" t="s">
        <v>51</v>
      </c>
      <c r="C14" s="6" t="s">
        <v>52</v>
      </c>
      <c r="D14" s="6">
        <v>0</v>
      </c>
      <c r="E14" s="6">
        <v>8.5454545454545467</v>
      </c>
      <c r="F14" s="6">
        <v>20</v>
      </c>
      <c r="G14" s="6">
        <v>1E+30</v>
      </c>
      <c r="H14" s="6">
        <v>8.5454545454545467</v>
      </c>
    </row>
    <row r="15" spans="1:8" ht="15.75" hidden="1" outlineLevel="1" thickBot="1" x14ac:dyDescent="0.3">
      <c r="B15" s="4" t="s">
        <v>53</v>
      </c>
      <c r="C15" s="4" t="s">
        <v>54</v>
      </c>
      <c r="D15" s="4">
        <v>0</v>
      </c>
      <c r="E15" s="4">
        <v>11.909090909090908</v>
      </c>
      <c r="F15" s="4">
        <v>19</v>
      </c>
      <c r="G15" s="4">
        <v>1E+30</v>
      </c>
      <c r="H15" s="4">
        <v>11.909090909090908</v>
      </c>
    </row>
    <row r="16" spans="1:8" collapsed="1" x14ac:dyDescent="0.25"/>
    <row r="18" spans="1:8" ht="15.75" thickBot="1" x14ac:dyDescent="0.3">
      <c r="A18" t="s">
        <v>35</v>
      </c>
    </row>
    <row r="19" spans="1:8" x14ac:dyDescent="0.25">
      <c r="B19" s="9"/>
      <c r="C19" s="9"/>
      <c r="D19" s="9" t="s">
        <v>70</v>
      </c>
      <c r="E19" s="9" t="s">
        <v>79</v>
      </c>
      <c r="F19" s="9" t="s">
        <v>80</v>
      </c>
      <c r="G19" s="9" t="s">
        <v>76</v>
      </c>
      <c r="H19" s="9" t="s">
        <v>76</v>
      </c>
    </row>
    <row r="20" spans="1:8" ht="15.75" thickBot="1" x14ac:dyDescent="0.3">
      <c r="B20" s="10" t="s">
        <v>29</v>
      </c>
      <c r="C20" s="10" t="s">
        <v>30</v>
      </c>
      <c r="D20" s="10" t="s">
        <v>71</v>
      </c>
      <c r="E20" s="10" t="s">
        <v>2</v>
      </c>
      <c r="F20" s="10" t="s">
        <v>81</v>
      </c>
      <c r="G20" s="10" t="s">
        <v>77</v>
      </c>
      <c r="H20" s="10" t="s">
        <v>78</v>
      </c>
    </row>
    <row r="21" spans="1:8" x14ac:dyDescent="0.25">
      <c r="B21" s="8" t="s">
        <v>67</v>
      </c>
      <c r="C21" s="7"/>
      <c r="D21" s="7"/>
      <c r="E21" s="7"/>
      <c r="F21" s="7"/>
      <c r="G21" s="7"/>
      <c r="H21" s="7"/>
    </row>
    <row r="22" spans="1:8" hidden="1" outlineLevel="1" x14ac:dyDescent="0.25">
      <c r="B22" s="6" t="s">
        <v>55</v>
      </c>
      <c r="C22" s="6" t="s">
        <v>56</v>
      </c>
      <c r="D22" s="6">
        <v>2500.0000000000005</v>
      </c>
      <c r="E22" s="6">
        <v>2.7272727272727271E-2</v>
      </c>
      <c r="F22" s="6">
        <v>2500</v>
      </c>
      <c r="G22" s="6">
        <v>1E+30</v>
      </c>
      <c r="H22" s="6">
        <v>300.00000000000023</v>
      </c>
    </row>
    <row r="23" spans="1:8" hidden="1" outlineLevel="1" x14ac:dyDescent="0.25">
      <c r="B23" s="6" t="s">
        <v>59</v>
      </c>
      <c r="C23" s="6" t="s">
        <v>60</v>
      </c>
      <c r="D23" s="6">
        <v>90.909090909090921</v>
      </c>
      <c r="E23" s="6">
        <v>0</v>
      </c>
      <c r="F23" s="6">
        <v>80</v>
      </c>
      <c r="G23" s="6">
        <v>10.909090909090917</v>
      </c>
      <c r="H23" s="6">
        <v>1E+30</v>
      </c>
    </row>
    <row r="24" spans="1:8" ht="15.75" hidden="1" outlineLevel="1" thickBot="1" x14ac:dyDescent="0.3">
      <c r="B24" s="4" t="s">
        <v>63</v>
      </c>
      <c r="C24" s="4" t="s">
        <v>64</v>
      </c>
      <c r="D24" s="4">
        <v>45.45454545454546</v>
      </c>
      <c r="E24" s="4">
        <v>0</v>
      </c>
      <c r="F24" s="4">
        <v>8</v>
      </c>
      <c r="G24" s="4">
        <v>37.45454545454546</v>
      </c>
      <c r="H24" s="4">
        <v>1E+30</v>
      </c>
    </row>
    <row r="25" spans="1:8" collapsed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D55B-445D-4DC8-BB54-9C064CB72DED}">
  <dimension ref="A1:J20"/>
  <sheetViews>
    <sheetView showGridLines="0" workbookViewId="0"/>
  </sheetViews>
  <sheetFormatPr defaultRowHeight="15" outlineLevelRow="1" x14ac:dyDescent="0.25"/>
  <cols>
    <col min="1" max="1" width="2.28515625" customWidth="1"/>
    <col min="2" max="2" width="5.28515625" bestFit="1" customWidth="1"/>
    <col min="3" max="3" width="26.42578125" bestFit="1" customWidth="1"/>
    <col min="4" max="4" width="12" bestFit="1" customWidth="1"/>
    <col min="5" max="5" width="2.28515625" customWidth="1"/>
    <col min="6" max="7" width="12" bestFit="1" customWidth="1"/>
    <col min="8" max="8" width="2.28515625" customWidth="1"/>
    <col min="9" max="9" width="6.28515625" bestFit="1" customWidth="1"/>
    <col min="10" max="10" width="9" bestFit="1" customWidth="1"/>
  </cols>
  <sheetData>
    <row r="1" spans="1:10" x14ac:dyDescent="0.25">
      <c r="A1" s="3" t="s">
        <v>82</v>
      </c>
    </row>
    <row r="2" spans="1:10" x14ac:dyDescent="0.25">
      <c r="A2" s="3" t="s">
        <v>18</v>
      </c>
    </row>
    <row r="3" spans="1:10" x14ac:dyDescent="0.25">
      <c r="A3" s="3" t="s">
        <v>69</v>
      </c>
    </row>
    <row r="5" spans="1:10" ht="15.75" thickBot="1" x14ac:dyDescent="0.3"/>
    <row r="6" spans="1:10" x14ac:dyDescent="0.25">
      <c r="B6" s="9"/>
      <c r="C6" s="9" t="s">
        <v>74</v>
      </c>
      <c r="D6" s="9"/>
    </row>
    <row r="7" spans="1:10" ht="15.75" thickBot="1" x14ac:dyDescent="0.3">
      <c r="B7" s="10" t="s">
        <v>29</v>
      </c>
      <c r="C7" s="10" t="s">
        <v>30</v>
      </c>
      <c r="D7" s="10" t="s">
        <v>71</v>
      </c>
    </row>
    <row r="8" spans="1:10" ht="15.75" thickBot="1" x14ac:dyDescent="0.3">
      <c r="B8" s="4" t="s">
        <v>40</v>
      </c>
      <c r="C8" s="4" t="s">
        <v>41</v>
      </c>
      <c r="D8" s="4">
        <v>68.181818181818187</v>
      </c>
    </row>
    <row r="10" spans="1:10" ht="15.75" thickBot="1" x14ac:dyDescent="0.3"/>
    <row r="11" spans="1:10" x14ac:dyDescent="0.25">
      <c r="B11" s="9"/>
      <c r="C11" s="9" t="s">
        <v>83</v>
      </c>
      <c r="D11" s="9"/>
      <c r="F11" s="9" t="s">
        <v>84</v>
      </c>
      <c r="G11" s="9" t="s">
        <v>74</v>
      </c>
      <c r="I11" s="9" t="s">
        <v>87</v>
      </c>
      <c r="J11" s="9" t="s">
        <v>74</v>
      </c>
    </row>
    <row r="12" spans="1:10" ht="15.75" thickBot="1" x14ac:dyDescent="0.3">
      <c r="B12" s="10" t="s">
        <v>29</v>
      </c>
      <c r="C12" s="10" t="s">
        <v>30</v>
      </c>
      <c r="D12" s="10" t="s">
        <v>71</v>
      </c>
      <c r="F12" s="10" t="s">
        <v>85</v>
      </c>
      <c r="G12" s="10" t="s">
        <v>86</v>
      </c>
      <c r="I12" s="10" t="s">
        <v>85</v>
      </c>
      <c r="J12" s="10" t="s">
        <v>86</v>
      </c>
    </row>
    <row r="13" spans="1:10" x14ac:dyDescent="0.25">
      <c r="B13" s="8" t="s">
        <v>66</v>
      </c>
      <c r="C13" s="7"/>
      <c r="D13" s="7"/>
      <c r="F13" s="7"/>
      <c r="G13" s="7"/>
      <c r="I13" s="7"/>
      <c r="J13" s="7"/>
    </row>
    <row r="14" spans="1:10" hidden="1" outlineLevel="1" x14ac:dyDescent="0.25">
      <c r="B14" s="6" t="s">
        <v>42</v>
      </c>
      <c r="C14" s="6" t="s">
        <v>43</v>
      </c>
      <c r="D14" s="6">
        <v>22.72727272727273</v>
      </c>
      <c r="F14" s="6">
        <v>22.727272727272727</v>
      </c>
      <c r="G14" s="6">
        <v>68.181818181818187</v>
      </c>
      <c r="I14" s="6" t="e">
        <v>#N/A</v>
      </c>
      <c r="J14" s="6" t="e">
        <v>#N/A</v>
      </c>
    </row>
    <row r="15" spans="1:10" hidden="1" outlineLevel="1" x14ac:dyDescent="0.25">
      <c r="B15" s="6" t="s">
        <v>45</v>
      </c>
      <c r="C15" s="6" t="s">
        <v>46</v>
      </c>
      <c r="D15" s="6">
        <v>0</v>
      </c>
      <c r="F15" s="6">
        <v>0</v>
      </c>
      <c r="G15" s="6">
        <v>68.181818181818187</v>
      </c>
      <c r="I15" s="6" t="e">
        <v>#N/A</v>
      </c>
      <c r="J15" s="6" t="e">
        <v>#N/A</v>
      </c>
    </row>
    <row r="16" spans="1:10" hidden="1" outlineLevel="1" x14ac:dyDescent="0.25">
      <c r="B16" s="6" t="s">
        <v>47</v>
      </c>
      <c r="C16" s="6" t="s">
        <v>48</v>
      </c>
      <c r="D16" s="6">
        <v>0</v>
      </c>
      <c r="F16" s="6">
        <v>0</v>
      </c>
      <c r="G16" s="6">
        <v>68.181818181818187</v>
      </c>
      <c r="I16" s="6" t="e">
        <v>#N/A</v>
      </c>
      <c r="J16" s="6" t="e">
        <v>#N/A</v>
      </c>
    </row>
    <row r="17" spans="2:10" hidden="1" outlineLevel="1" x14ac:dyDescent="0.25">
      <c r="B17" s="6" t="s">
        <v>49</v>
      </c>
      <c r="C17" s="6" t="s">
        <v>50</v>
      </c>
      <c r="D17" s="6">
        <v>0</v>
      </c>
      <c r="F17" s="6">
        <v>0</v>
      </c>
      <c r="G17" s="6">
        <v>68.181818181818187</v>
      </c>
      <c r="I17" s="6" t="e">
        <v>#N/A</v>
      </c>
      <c r="J17" s="6" t="e">
        <v>#N/A</v>
      </c>
    </row>
    <row r="18" spans="2:10" hidden="1" outlineLevel="1" x14ac:dyDescent="0.25">
      <c r="B18" s="6" t="s">
        <v>51</v>
      </c>
      <c r="C18" s="6" t="s">
        <v>52</v>
      </c>
      <c r="D18" s="6">
        <v>0</v>
      </c>
      <c r="F18" s="6">
        <v>0</v>
      </c>
      <c r="G18" s="6">
        <v>68.181818181818187</v>
      </c>
      <c r="I18" s="6" t="e">
        <v>#N/A</v>
      </c>
      <c r="J18" s="6" t="e">
        <v>#N/A</v>
      </c>
    </row>
    <row r="19" spans="2:10" ht="15.75" hidden="1" outlineLevel="1" thickBot="1" x14ac:dyDescent="0.3">
      <c r="B19" s="4" t="s">
        <v>53</v>
      </c>
      <c r="C19" s="4" t="s">
        <v>54</v>
      </c>
      <c r="D19" s="4">
        <v>0</v>
      </c>
      <c r="F19" s="4">
        <v>0</v>
      </c>
      <c r="G19" s="4">
        <v>68.181818181818187</v>
      </c>
      <c r="I19" s="4" t="e">
        <v>#N/A</v>
      </c>
      <c r="J19" s="4" t="e">
        <v>#N/A</v>
      </c>
    </row>
    <row r="20" spans="2:10" collapsed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K4" sqref="K4"/>
    </sheetView>
  </sheetViews>
  <sheetFormatPr defaultRowHeight="15" x14ac:dyDescent="0.25"/>
  <cols>
    <col min="4" max="4" width="13.7109375" customWidth="1"/>
    <col min="5" max="5" width="12.140625" customWidth="1"/>
    <col min="6" max="6" width="17.28515625" customWidth="1"/>
    <col min="7" max="7" width="21.5703125" customWidth="1"/>
  </cols>
  <sheetData>
    <row r="1" spans="1:8" x14ac:dyDescent="0.25">
      <c r="A1" s="1" t="s">
        <v>0</v>
      </c>
      <c r="B1" s="1" t="s">
        <v>1</v>
      </c>
      <c r="C1" s="1" t="s">
        <v>88</v>
      </c>
      <c r="D1" s="1" t="s">
        <v>91</v>
      </c>
      <c r="E1" s="1" t="s">
        <v>92</v>
      </c>
      <c r="F1" s="1" t="s">
        <v>93</v>
      </c>
      <c r="G1" s="1" t="s">
        <v>3</v>
      </c>
      <c r="H1" s="2" t="s">
        <v>16</v>
      </c>
    </row>
    <row r="2" spans="1:8" x14ac:dyDescent="0.25">
      <c r="A2" s="1" t="s">
        <v>4</v>
      </c>
      <c r="B2" t="s">
        <v>5</v>
      </c>
      <c r="C2">
        <v>110</v>
      </c>
      <c r="D2">
        <v>4</v>
      </c>
      <c r="E2">
        <v>2</v>
      </c>
      <c r="F2">
        <v>1.5</v>
      </c>
      <c r="G2">
        <v>4</v>
      </c>
      <c r="H2" s="11">
        <v>4</v>
      </c>
    </row>
    <row r="3" spans="1:8" x14ac:dyDescent="0.25">
      <c r="A3" s="1" t="s">
        <v>6</v>
      </c>
      <c r="B3" t="s">
        <v>7</v>
      </c>
      <c r="C3">
        <v>205</v>
      </c>
      <c r="D3">
        <v>32</v>
      </c>
      <c r="E3">
        <v>12</v>
      </c>
      <c r="F3">
        <v>4.25</v>
      </c>
      <c r="G3">
        <v>4</v>
      </c>
      <c r="H3" s="11">
        <v>0.61489698890649724</v>
      </c>
    </row>
    <row r="4" spans="1:8" x14ac:dyDescent="0.25">
      <c r="A4" s="1" t="s">
        <v>8</v>
      </c>
      <c r="B4" t="s">
        <v>9</v>
      </c>
      <c r="C4">
        <v>160</v>
      </c>
      <c r="D4">
        <v>13</v>
      </c>
      <c r="E4">
        <v>54</v>
      </c>
      <c r="F4">
        <v>3</v>
      </c>
      <c r="G4">
        <v>4</v>
      </c>
      <c r="H4" s="11">
        <v>0</v>
      </c>
    </row>
    <row r="5" spans="1:8" x14ac:dyDescent="0.25">
      <c r="A5" s="1" t="s">
        <v>10</v>
      </c>
      <c r="B5" t="s">
        <v>11</v>
      </c>
      <c r="C5">
        <v>160</v>
      </c>
      <c r="D5">
        <v>8</v>
      </c>
      <c r="E5">
        <v>285</v>
      </c>
      <c r="F5">
        <v>1.2</v>
      </c>
      <c r="G5">
        <v>4</v>
      </c>
      <c r="H5" s="11">
        <v>4</v>
      </c>
    </row>
    <row r="6" spans="1:8" x14ac:dyDescent="0.25">
      <c r="A6" s="1" t="s">
        <v>12</v>
      </c>
      <c r="B6" t="s">
        <v>13</v>
      </c>
      <c r="C6">
        <v>420</v>
      </c>
      <c r="D6">
        <v>4</v>
      </c>
      <c r="E6">
        <v>22</v>
      </c>
      <c r="F6">
        <v>5.8</v>
      </c>
      <c r="G6">
        <v>4</v>
      </c>
      <c r="H6" s="11">
        <v>3.0808240887480185</v>
      </c>
    </row>
    <row r="7" spans="1:8" x14ac:dyDescent="0.25">
      <c r="A7" s="1" t="s">
        <v>14</v>
      </c>
      <c r="B7" t="s">
        <v>15</v>
      </c>
      <c r="C7">
        <v>260</v>
      </c>
      <c r="D7">
        <v>14</v>
      </c>
      <c r="E7">
        <v>80</v>
      </c>
      <c r="F7">
        <v>8.6999999999999993</v>
      </c>
      <c r="G7">
        <v>4</v>
      </c>
      <c r="H7" s="11">
        <v>0</v>
      </c>
    </row>
    <row r="8" spans="1:8" x14ac:dyDescent="0.25">
      <c r="A8" s="2" t="s">
        <v>90</v>
      </c>
      <c r="C8">
        <f>SUMPRODUCT($H$2:$H$7,C2:C7)</f>
        <v>2500</v>
      </c>
      <c r="D8">
        <f>SUMPRODUCT($H$2:$H$7,D2:D7)</f>
        <v>79.999999999999972</v>
      </c>
      <c r="E8">
        <f>SUMPRODUCT($H$2:$H$7,E2:E7)</f>
        <v>1223.1568938193343</v>
      </c>
      <c r="F8" s="12">
        <f>SUMPRODUCT($H$2:$H$7,F2:F7)</f>
        <v>31.282091917591121</v>
      </c>
    </row>
    <row r="9" spans="1:8" x14ac:dyDescent="0.25">
      <c r="A9" s="2" t="s">
        <v>89</v>
      </c>
      <c r="C9">
        <v>2500</v>
      </c>
      <c r="D9">
        <v>80</v>
      </c>
      <c r="E9">
        <v>800</v>
      </c>
      <c r="G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 Report 1</vt:lpstr>
      <vt:lpstr>Sensitivity Report 1</vt:lpstr>
      <vt:lpstr>Limits Report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Бойко Моисов Амаров</cp:lastModifiedBy>
  <dcterms:created xsi:type="dcterms:W3CDTF">2025-03-23T15:27:44Z</dcterms:created>
  <dcterms:modified xsi:type="dcterms:W3CDTF">2026-03-19T13:04:21Z</dcterms:modified>
</cp:coreProperties>
</file>