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yko\stats\opt2025\excel\"/>
    </mc:Choice>
  </mc:AlternateContent>
  <xr:revisionPtr revIDLastSave="0" documentId="13_ncr:1_{75326B3D-A29E-4B6D-9BE7-593086FE0BA5}" xr6:coauthVersionLast="47" xr6:coauthVersionMax="47" xr10:uidLastSave="{00000000-0000-0000-0000-000000000000}"/>
  <bookViews>
    <workbookView xWindow="4104" yWindow="3312" windowWidth="17280" windowHeight="9960" xr2:uid="{C6683981-43B6-42B1-A8A0-7AF311EA88D4}"/>
  </bookViews>
  <sheets>
    <sheet name="Sheet1" sheetId="1" r:id="rId1"/>
  </sheets>
  <definedNames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Sheet1!$F$8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8" i="1"/>
  <c r="C11" i="1"/>
  <c r="C8" i="1"/>
  <c r="G4" i="1"/>
  <c r="C10" i="1"/>
  <c r="I4" i="1"/>
  <c r="I5" i="1"/>
  <c r="H6" i="1"/>
</calcChain>
</file>

<file path=xl/sharedStrings.xml><?xml version="1.0" encoding="utf-8"?>
<sst xmlns="http://schemas.openxmlformats.org/spreadsheetml/2006/main" count="17" uniqueCount="17">
  <si>
    <t>House types</t>
  </si>
  <si>
    <t>1 Family</t>
  </si>
  <si>
    <t>2 Families</t>
  </si>
  <si>
    <t>3 Families</t>
  </si>
  <si>
    <t>4 Families</t>
  </si>
  <si>
    <t>Area (m^2)</t>
  </si>
  <si>
    <t>Tax income per house (EUR)</t>
  </si>
  <si>
    <t>Construction costs</t>
  </si>
  <si>
    <t>Demolitions</t>
  </si>
  <si>
    <t>Available</t>
  </si>
  <si>
    <t>Constraints</t>
  </si>
  <si>
    <t>Used</t>
  </si>
  <si>
    <t>Available for demolitions</t>
  </si>
  <si>
    <t>Total new constructions</t>
  </si>
  <si>
    <t>Distribution requirements</t>
  </si>
  <si>
    <t>Total 3 and 4 family homes</t>
  </si>
  <si>
    <t>Requirement for (3 and 4 family homes)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</si>
</sst>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0" fillId="3" borderId="0" xfId="0" applyFill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FB5E-E762-4AE1-81DE-835418022A2F}">
  <dimension ref="B2:J11"/>
  <sheetViews>
    <sheetView tabSelected="1" workbookViewId="0">
      <selection activeCell="F10" sqref="F10"/>
    </sheetView>
  </sheetViews>
  <sheetFormatPr defaultRowHeight="14.4" x14ac:dyDescent="0.3"/>
  <cols>
    <col min="2" max="2" width="25.5546875" customWidth="1"/>
    <col min="3" max="3" width="9.109375" bestFit="1" customWidth="1"/>
    <col min="4" max="4" width="13.5546875" customWidth="1"/>
    <col min="5" max="5" width="10.109375" bestFit="1" customWidth="1"/>
    <col min="6" max="6" width="11.6640625" customWidth="1"/>
    <col min="7" max="7" width="13.33203125" customWidth="1"/>
    <col min="8" max="8" width="16.109375" customWidth="1"/>
    <col min="9" max="9" width="13" customWidth="1"/>
    <col min="10" max="10" width="11.6640625" bestFit="1" customWidth="1"/>
  </cols>
  <sheetData>
    <row r="2" spans="2:10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8</v>
      </c>
      <c r="I2" t="s">
        <v>10</v>
      </c>
    </row>
    <row r="3" spans="2:10" x14ac:dyDescent="0.3">
      <c r="C3" s="1"/>
      <c r="D3" s="1"/>
      <c r="E3" s="1"/>
      <c r="F3" s="1">
        <v>1</v>
      </c>
      <c r="G3" s="1">
        <v>1</v>
      </c>
      <c r="I3" t="s">
        <v>11</v>
      </c>
      <c r="J3" t="s">
        <v>9</v>
      </c>
    </row>
    <row r="4" spans="2:10" x14ac:dyDescent="0.3">
      <c r="B4" t="s">
        <v>5</v>
      </c>
      <c r="C4">
        <v>300</v>
      </c>
      <c r="D4">
        <v>500</v>
      </c>
      <c r="E4">
        <v>700</v>
      </c>
      <c r="F4">
        <v>900</v>
      </c>
      <c r="G4">
        <f>-1000*(1 - 0.15)</f>
        <v>-850</v>
      </c>
      <c r="I4">
        <f>SUMPRODUCT(C3:G3,C4:G4)</f>
        <v>50</v>
      </c>
      <c r="J4">
        <v>0</v>
      </c>
    </row>
    <row r="5" spans="2:10" x14ac:dyDescent="0.3">
      <c r="B5" t="s">
        <v>7</v>
      </c>
      <c r="C5" s="2">
        <v>50000</v>
      </c>
      <c r="D5" s="2">
        <v>70000</v>
      </c>
      <c r="E5" s="2">
        <v>130000</v>
      </c>
      <c r="F5" s="2">
        <v>160000</v>
      </c>
      <c r="G5" s="2">
        <v>3000</v>
      </c>
      <c r="H5" s="2"/>
      <c r="I5" s="2">
        <f>SUMPRODUCT(C3:G3,C5:G5)</f>
        <v>163000</v>
      </c>
      <c r="J5" s="2">
        <v>15000000</v>
      </c>
    </row>
    <row r="6" spans="2:10" x14ac:dyDescent="0.3">
      <c r="B6" t="s">
        <v>6</v>
      </c>
      <c r="C6">
        <v>1000</v>
      </c>
      <c r="D6">
        <v>1700</v>
      </c>
      <c r="E6">
        <v>2400</v>
      </c>
      <c r="F6">
        <v>2800</v>
      </c>
      <c r="G6">
        <v>0</v>
      </c>
      <c r="H6" s="3">
        <f>SUMPRODUCT(C3:G3,C6:G6)</f>
        <v>2800</v>
      </c>
    </row>
    <row r="7" spans="2:10" ht="28.8" x14ac:dyDescent="0.3">
      <c r="F7" s="4" t="s">
        <v>12</v>
      </c>
      <c r="G7">
        <v>300</v>
      </c>
    </row>
    <row r="8" spans="2:10" x14ac:dyDescent="0.3">
      <c r="B8" t="s">
        <v>14</v>
      </c>
      <c r="C8">
        <f>0.2*C10</f>
        <v>0.4</v>
      </c>
      <c r="D8">
        <f>0.2*C10</f>
        <v>0.4</v>
      </c>
    </row>
    <row r="10" spans="2:10" ht="72" x14ac:dyDescent="0.3">
      <c r="B10" t="s">
        <v>13</v>
      </c>
      <c r="C10">
        <f>SUM(C3:G3)</f>
        <v>2</v>
      </c>
      <c r="D10" s="5" t="s">
        <v>16</v>
      </c>
    </row>
    <row r="11" spans="2:10" x14ac:dyDescent="0.3">
      <c r="B11" t="s">
        <v>15</v>
      </c>
      <c r="C11">
        <f>SUM(E3:F3)</f>
        <v>1</v>
      </c>
      <c r="D11">
        <f>0.25*C10</f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Бойко Моисов Амаров</dc:creator>
  <cp:lastModifiedBy>Бойко Моисов Амаров</cp:lastModifiedBy>
  <dcterms:created xsi:type="dcterms:W3CDTF">2026-03-19T07:55:39Z</dcterms:created>
  <dcterms:modified xsi:type="dcterms:W3CDTF">2026-03-19T09:27:00Z</dcterms:modified>
</cp:coreProperties>
</file>