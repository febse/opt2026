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 Amarov\stats\opt2026\excel\"/>
    </mc:Choice>
  </mc:AlternateContent>
  <xr:revisionPtr revIDLastSave="0" documentId="13_ncr:1_{C5709483-C24B-4C9C-8D11-074EE02FF8A7}" xr6:coauthVersionLast="47" xr6:coauthVersionMax="47" xr10:uidLastSave="{00000000-0000-0000-0000-000000000000}"/>
  <bookViews>
    <workbookView xWindow="25725" yWindow="0" windowWidth="25980" windowHeight="14400" xr2:uid="{C6683981-43B6-42B1-A8A0-7AF311EA88D4}"/>
  </bookViews>
  <sheets>
    <sheet name="Sheet1" sheetId="1" r:id="rId1"/>
  </sheets>
  <definedNames>
    <definedName name="solver_adj" localSheetId="0" hidden="1">Sheet1!$C$3:$G$3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Sheet1!$C$9:$E$9</definedName>
    <definedName name="solver_lhs2" localSheetId="0" hidden="1">Sheet1!$G$3</definedName>
    <definedName name="solver_lhs3" localSheetId="0" hidden="1">Sheet1!$I$4:$I$5</definedName>
    <definedName name="solver_lhs4" localSheetId="0" hidden="1">Sheet1!$I$4:$I$5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Sheet1!$H$6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Sheet1!$C$10:$E$10</definedName>
    <definedName name="solver_rhs2" localSheetId="0" hidden="1">Sheet1!$G$7</definedName>
    <definedName name="solver_rhs3" localSheetId="0" hidden="1">Sheet1!$J$4:$J$5</definedName>
    <definedName name="solver_rhs4" localSheetId="0" hidden="1">Sheet1!$J$4:$J$5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E10" i="1" s="1"/>
  <c r="I4" i="1"/>
  <c r="E9" i="1"/>
  <c r="D9" i="1"/>
  <c r="C9" i="1"/>
  <c r="J4" i="1"/>
  <c r="G4" i="1"/>
  <c r="I5" i="1"/>
  <c r="H6" i="1"/>
  <c r="C10" i="1" l="1"/>
  <c r="D10" i="1"/>
</calcChain>
</file>

<file path=xl/sharedStrings.xml><?xml version="1.0" encoding="utf-8"?>
<sst xmlns="http://schemas.openxmlformats.org/spreadsheetml/2006/main" count="16" uniqueCount="16">
  <si>
    <t>House types</t>
  </si>
  <si>
    <t>1 Family</t>
  </si>
  <si>
    <t>2 Families</t>
  </si>
  <si>
    <t>3 Families</t>
  </si>
  <si>
    <t>4 Families</t>
  </si>
  <si>
    <t>Area (m^2)</t>
  </si>
  <si>
    <t>Tax income per house (EUR)</t>
  </si>
  <si>
    <t>Construction costs</t>
  </si>
  <si>
    <t>Demolitions</t>
  </si>
  <si>
    <t>Available</t>
  </si>
  <si>
    <t>Constraints</t>
  </si>
  <si>
    <t>Used</t>
  </si>
  <si>
    <t>Available for demolitions</t>
  </si>
  <si>
    <t>Distribution requirements</t>
  </si>
  <si>
    <t>Realized distribution</t>
  </si>
  <si>
    <t>Total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</si>
</sst>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FB5E-E762-4AE1-81DE-835418022A2F}">
  <dimension ref="B2:J10"/>
  <sheetViews>
    <sheetView tabSelected="1" workbookViewId="0">
      <selection activeCell="J14" sqref="J14"/>
    </sheetView>
  </sheetViews>
  <sheetFormatPr defaultRowHeight="15" x14ac:dyDescent="0.25"/>
  <cols>
    <col min="2" max="2" width="25.5703125" customWidth="1"/>
    <col min="3" max="3" width="9.140625" bestFit="1" customWidth="1"/>
    <col min="4" max="4" width="13.5703125" customWidth="1"/>
    <col min="5" max="5" width="10.140625" bestFit="1" customWidth="1"/>
    <col min="6" max="6" width="11.7109375" customWidth="1"/>
    <col min="7" max="7" width="13.28515625" customWidth="1"/>
    <col min="8" max="8" width="16.140625" customWidth="1"/>
    <col min="9" max="9" width="13" customWidth="1"/>
    <col min="10" max="10" width="11.71093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8</v>
      </c>
      <c r="H2" t="s">
        <v>15</v>
      </c>
      <c r="I2" t="s">
        <v>10</v>
      </c>
    </row>
    <row r="3" spans="2:10" x14ac:dyDescent="0.25">
      <c r="C3" s="1">
        <v>36.231884057971001</v>
      </c>
      <c r="D3" s="1">
        <v>99.637681159420268</v>
      </c>
      <c r="E3" s="1">
        <v>45.289855072463759</v>
      </c>
      <c r="F3" s="1">
        <v>-1.7763568394002505E-15</v>
      </c>
      <c r="G3" s="1">
        <v>108.69565217391303</v>
      </c>
      <c r="H3">
        <f>SUM(C3:F3)</f>
        <v>181.15942028985501</v>
      </c>
      <c r="I3" t="s">
        <v>11</v>
      </c>
      <c r="J3" t="s">
        <v>9</v>
      </c>
    </row>
    <row r="4" spans="2:10" x14ac:dyDescent="0.25">
      <c r="B4" t="s">
        <v>5</v>
      </c>
      <c r="C4">
        <v>300</v>
      </c>
      <c r="D4">
        <v>500</v>
      </c>
      <c r="E4">
        <v>700</v>
      </c>
      <c r="F4">
        <v>900</v>
      </c>
      <c r="G4">
        <f>1000*(1 - 0.15)</f>
        <v>850</v>
      </c>
      <c r="I4">
        <f>SUMPRODUCT(C3:F3,C4:F4)</f>
        <v>92391.304347826081</v>
      </c>
      <c r="J4">
        <f>G3*G4</f>
        <v>92391.304347826081</v>
      </c>
    </row>
    <row r="5" spans="2:10" x14ac:dyDescent="0.25">
      <c r="B5" t="s">
        <v>7</v>
      </c>
      <c r="C5" s="2">
        <v>50000</v>
      </c>
      <c r="D5" s="2">
        <v>70000</v>
      </c>
      <c r="E5" s="2">
        <v>130000</v>
      </c>
      <c r="F5" s="2">
        <v>160000</v>
      </c>
      <c r="G5" s="2">
        <v>3000</v>
      </c>
      <c r="H5" s="2"/>
      <c r="I5" s="2">
        <f>SUMPRODUCT(C3:G3,C5:G5)</f>
        <v>14999999.999999996</v>
      </c>
      <c r="J5" s="2">
        <v>15000000</v>
      </c>
    </row>
    <row r="6" spans="2:10" x14ac:dyDescent="0.25">
      <c r="B6" t="s">
        <v>6</v>
      </c>
      <c r="C6">
        <v>1000</v>
      </c>
      <c r="D6">
        <v>1700</v>
      </c>
      <c r="E6">
        <v>2400</v>
      </c>
      <c r="F6">
        <v>2800</v>
      </c>
      <c r="G6">
        <v>0</v>
      </c>
      <c r="H6" s="3">
        <f>SUMPRODUCT(C3:G3,C6:G6)</f>
        <v>314311.5942028985</v>
      </c>
    </row>
    <row r="7" spans="2:10" ht="45" x14ac:dyDescent="0.25">
      <c r="F7" s="4" t="s">
        <v>12</v>
      </c>
      <c r="G7">
        <v>300</v>
      </c>
    </row>
    <row r="9" spans="2:10" x14ac:dyDescent="0.25">
      <c r="B9" t="s">
        <v>14</v>
      </c>
      <c r="C9">
        <f>C3</f>
        <v>36.231884057971001</v>
      </c>
      <c r="D9">
        <f>D3</f>
        <v>99.637681159420268</v>
      </c>
      <c r="E9">
        <f>SUM(E3:F3)</f>
        <v>45.289855072463759</v>
      </c>
    </row>
    <row r="10" spans="2:10" x14ac:dyDescent="0.25">
      <c r="B10" t="s">
        <v>13</v>
      </c>
      <c r="C10">
        <f>0.2*H3</f>
        <v>36.231884057971001</v>
      </c>
      <c r="D10">
        <f>0.2*H3</f>
        <v>36.231884057971001</v>
      </c>
      <c r="E10">
        <f>0.25*H3</f>
        <v>45.289855072463752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2026-03-19T07:55:39Z</dcterms:created>
  <dcterms:modified xsi:type="dcterms:W3CDTF">2026-03-19T13:04:18Z</dcterms:modified>
</cp:coreProperties>
</file>