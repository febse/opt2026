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ko Amarov\stats\opt2026\excel\"/>
    </mc:Choice>
  </mc:AlternateContent>
  <xr:revisionPtr revIDLastSave="0" documentId="8_{2CA4FAA3-99C3-46C4-AF6A-7F3CB5796A14}" xr6:coauthVersionLast="47" xr6:coauthVersionMax="47" xr10:uidLastSave="{00000000-0000-0000-0000-000000000000}"/>
  <bookViews>
    <workbookView xWindow="27000" yWindow="4695" windowWidth="22725" windowHeight="11760" xr2:uid="{1A8FE5F9-102C-49B6-9C1B-35C31C178295}"/>
  </bookViews>
  <sheets>
    <sheet name="Model" sheetId="1" r:id="rId1"/>
  </sheets>
  <definedNames>
    <definedName name="solver_adj" localSheetId="0" hidden="1">Model!$C$8:$E$10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Model!$F$3:$F$5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Model!$F$7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Model!$G$3:$G$5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  <c r="F4" i="1" a="1"/>
  <c r="F4" i="1" s="1"/>
  <c r="F3" i="1" a="1"/>
  <c r="F3" i="1" s="1"/>
  <c r="E11" i="1"/>
  <c r="E7" i="1" s="1"/>
  <c r="D11" i="1"/>
  <c r="D7" i="1" s="1"/>
  <c r="C11" i="1"/>
  <c r="C7" i="1" s="1"/>
  <c r="F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<sst xmlns="http://schemas.openxmlformats.org/spreadsheetml/2006/main" count="14" uniqueCount="14">
  <si>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Tables/Waiters</t>
  </si>
  <si>
    <t>&lt;6m</t>
  </si>
  <si>
    <t>6-12m</t>
  </si>
  <si>
    <t>&gt;12m</t>
  </si>
  <si>
    <t>Small</t>
  </si>
  <si>
    <t>Medium</t>
  </si>
  <si>
    <t>Large</t>
  </si>
  <si>
    <t>Served per hour</t>
  </si>
  <si>
    <t>Costs/hour</t>
  </si>
  <si>
    <t>Personnel plan</t>
  </si>
  <si>
    <t>Required per hour</t>
  </si>
  <si>
    <t>Total cost</t>
  </si>
  <si>
    <t>Total by experience</t>
  </si>
  <si>
    <t>Cost by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</si>
</sst>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F620-D7AE-45E3-AD2D-3824A403C130}">
  <dimension ref="B2:G11"/>
  <sheetViews>
    <sheetView tabSelected="1" workbookViewId="0">
      <selection activeCell="E7" sqref="E7"/>
    </sheetView>
  </sheetViews>
  <sheetFormatPr defaultRowHeight="15" x14ac:dyDescent="0.25"/>
  <cols>
    <col min="2" max="2" width="16.7109375" customWidth="1"/>
    <col min="6" max="6" width="13.42578125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7</v>
      </c>
      <c r="G2" t="s">
        <v>10</v>
      </c>
    </row>
    <row r="3" spans="2:7" x14ac:dyDescent="0.25">
      <c r="B3" t="s">
        <v>4</v>
      </c>
      <c r="C3" s="2">
        <v>15</v>
      </c>
      <c r="D3" s="2">
        <v>7.5</v>
      </c>
      <c r="E3" s="2">
        <v>5</v>
      </c>
      <c r="F3" cm="1">
        <f t="array" ref="F3">SUMPRODUCT(C8:E8,60/C3:E3)</f>
        <v>40</v>
      </c>
      <c r="G3" s="2">
        <v>40</v>
      </c>
    </row>
    <row r="4" spans="2:7" x14ac:dyDescent="0.25">
      <c r="B4" t="s">
        <v>5</v>
      </c>
      <c r="C4" s="2">
        <v>30</v>
      </c>
      <c r="D4" s="2">
        <v>10</v>
      </c>
      <c r="E4" s="2">
        <v>6</v>
      </c>
      <c r="F4" cm="1">
        <f t="array" ref="F4">SUMPRODUCT(C9:E9,60/C4:E4)</f>
        <v>30.000000000000004</v>
      </c>
      <c r="G4" s="2">
        <v>30</v>
      </c>
    </row>
    <row r="5" spans="2:7" x14ac:dyDescent="0.25">
      <c r="B5" t="s">
        <v>6</v>
      </c>
      <c r="C5" s="2">
        <v>999999</v>
      </c>
      <c r="D5" s="2">
        <v>15</v>
      </c>
      <c r="E5" s="2">
        <v>7.5</v>
      </c>
      <c r="F5" cm="1">
        <f t="array" ref="F5">SUMPRODUCT(C10:E10,60/C5:E5)</f>
        <v>25.000000000000007</v>
      </c>
      <c r="G5" s="2">
        <v>25</v>
      </c>
    </row>
    <row r="6" spans="2:7" x14ac:dyDescent="0.25">
      <c r="B6" t="s">
        <v>8</v>
      </c>
      <c r="C6" s="2">
        <v>8</v>
      </c>
      <c r="D6" s="2">
        <v>10</v>
      </c>
      <c r="E6" s="2">
        <v>15</v>
      </c>
    </row>
    <row r="7" spans="2:7" x14ac:dyDescent="0.25">
      <c r="B7" t="s">
        <v>13</v>
      </c>
      <c r="C7">
        <f>C6*C11</f>
        <v>0</v>
      </c>
      <c r="D7">
        <f>D6*D11</f>
        <v>0</v>
      </c>
      <c r="E7">
        <f>E6*E11</f>
        <v>141.87500000000003</v>
      </c>
      <c r="F7" s="3">
        <f>SUM(C7:E7)</f>
        <v>141.87500000000003</v>
      </c>
      <c r="G7" t="s">
        <v>11</v>
      </c>
    </row>
    <row r="8" spans="2:7" x14ac:dyDescent="0.25">
      <c r="B8" t="s">
        <v>9</v>
      </c>
      <c r="C8" s="1">
        <v>0</v>
      </c>
      <c r="D8" s="1">
        <v>0</v>
      </c>
      <c r="E8" s="1">
        <v>3.333333333333333</v>
      </c>
    </row>
    <row r="9" spans="2:7" x14ac:dyDescent="0.25">
      <c r="C9" s="1">
        <v>0</v>
      </c>
      <c r="D9" s="1">
        <v>0</v>
      </c>
      <c r="E9" s="1">
        <v>3.0000000000000004</v>
      </c>
    </row>
    <row r="10" spans="2:7" x14ac:dyDescent="0.25">
      <c r="C10" s="1">
        <v>0</v>
      </c>
      <c r="D10" s="1">
        <v>0</v>
      </c>
      <c r="E10" s="1">
        <v>3.1250000000000009</v>
      </c>
    </row>
    <row r="11" spans="2:7" x14ac:dyDescent="0.25">
      <c r="B11" t="s">
        <v>12</v>
      </c>
      <c r="C11">
        <f>SUM(C8:C10)</f>
        <v>0</v>
      </c>
      <c r="D11">
        <f t="shared" ref="D11:E11" si="0">SUM(D8:D10)</f>
        <v>0</v>
      </c>
      <c r="E11">
        <f t="shared" si="0"/>
        <v>9.4583333333333357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Моисов Амаров</dc:creator>
  <cp:lastModifiedBy>Бойко Моисов Амаров</cp:lastModifiedBy>
  <dcterms:created xsi:type="dcterms:W3CDTF">2026-03-19T07:21:12Z</dcterms:created>
  <dcterms:modified xsi:type="dcterms:W3CDTF">2026-03-19T13:04:14Z</dcterms:modified>
</cp:coreProperties>
</file>