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yko Amarov\stats\opt2026\excel\"/>
    </mc:Choice>
  </mc:AlternateContent>
  <xr:revisionPtr revIDLastSave="0" documentId="8_{F7235418-E583-4053-A8A7-EE1B62F83E51}" xr6:coauthVersionLast="47" xr6:coauthVersionMax="47" xr10:uidLastSave="{00000000-0000-0000-0000-000000000000}"/>
  <bookViews>
    <workbookView xWindow="-120" yWindow="-120" windowWidth="51840" windowHeight="21120" tabRatio="500" activeTab="3" xr2:uid="{00000000-000D-0000-FFFF-FFFF00000000}"/>
  </bookViews>
  <sheets>
    <sheet name="Answer Report 1" sheetId="2" r:id="rId1"/>
    <sheet name="Sensitivity Report 1" sheetId="3" r:id="rId2"/>
    <sheet name="Limits Report 1" sheetId="4" r:id="rId3"/>
    <sheet name="Model" sheetId="1" r:id="rId4"/>
  </sheets>
  <definedNames>
    <definedName name="solver_adj" localSheetId="3" hidden="1">Model!$B$2:$C$2</definedName>
    <definedName name="solver_asr" localSheetId="3">0</definedName>
    <definedName name="solver_bbd" localSheetId="3">1</definedName>
    <definedName name="solver_ccoeff" localSheetId="3">0</definedName>
    <definedName name="solver_cog" localSheetId="3">0</definedName>
    <definedName name="solver_crpb" localSheetId="3">0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ps" localSheetId="3">0</definedName>
    <definedName name="solver_est" localSheetId="3" hidden="1">1</definedName>
    <definedName name="solver_int" localSheetId="3">0</definedName>
    <definedName name="solver_itr" localSheetId="3" hidden="1">2147483647</definedName>
    <definedName name="solver_lhs0" localSheetId="3" hidden="1">Model!$D$6:$D$8</definedName>
    <definedName name="solver_lhs1" localSheetId="3" hidden="1">Model!$D$6:$D$8</definedName>
    <definedName name="solver_lo_eng" localSheetId="3">"com.sun.star.comp.Calc.LpsolveSolver"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mtpb" localSheetId="3">0</definedName>
    <definedName name="solver_neg" localSheetId="3" hidden="1">2</definedName>
    <definedName name="solver_nod" localSheetId="3" hidden="1">2147483647</definedName>
    <definedName name="solver_num" localSheetId="3" hidden="1">1</definedName>
    <definedName name="solver_nwt" localSheetId="3" hidden="1">1</definedName>
    <definedName name="solver_opt" localSheetId="3" hidden="1">Model!$D$3</definedName>
    <definedName name="solver_pre" localSheetId="3" hidden="1">0.000001</definedName>
    <definedName name="solver_rbv" localSheetId="3" hidden="1">2</definedName>
    <definedName name="solver_rel0" localSheetId="3" hidden="1">1</definedName>
    <definedName name="solver_rel1" localSheetId="3" hidden="1">1</definedName>
    <definedName name="solver_rhs0" localSheetId="3" hidden="1">Model!$E$6:$E$8</definedName>
    <definedName name="solver_rhs1" localSheetId="3" hidden="1">Model!$E$6:$E$8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max" localSheetId="3">0</definedName>
    <definedName name="solver_smin" localSheetId="3">0</definedName>
    <definedName name="solver_soc" localSheetId="3">0</definedName>
    <definedName name="solver_ssz" localSheetId="3" hidden="1">100</definedName>
    <definedName name="solver_stol" localSheetId="3">0</definedName>
    <definedName name="solver_tim" localSheetId="3" hidden="1">100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  <definedName name="solver_vrt" localSheetId="3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8" i="1" l="1"/>
  <c r="B8" i="1"/>
  <c r="D8" i="1" s="1"/>
  <c r="D7" i="1"/>
  <c r="D6" i="1"/>
  <c r="D3" i="1"/>
</calcChain>
</file>

<file path=xl/sharedStrings.xml><?xml version="1.0" encoding="utf-8"?>
<sst xmlns="http://schemas.openxmlformats.org/spreadsheetml/2006/main" count="123" uniqueCount="69">
  <si>
    <t>Steel</t>
  </si>
  <si>
    <t>Cast Iron</t>
  </si>
  <si>
    <t>number</t>
  </si>
  <si>
    <t>Profit</t>
  </si>
  <si>
    <t>Constraints</t>
  </si>
  <si>
    <t>Used</t>
  </si>
  <si>
    <t>Available</t>
  </si>
  <si>
    <t>Machine 1</t>
  </si>
  <si>
    <t>Machine 2</t>
  </si>
  <si>
    <t>Maintenance</t>
  </si>
  <si>
    <t>Microsoft Excel 16.0 Answer Report</t>
  </si>
  <si>
    <t>Worksheet: [Iron.xlsx]Sheet1</t>
  </si>
  <si>
    <t>Report Created: 3/5/2026 10:51:43 AM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</si>
  <si>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</si>
  <si>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</si>
  <si>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</si>
  <si>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</si>
  <si>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2 Subproblems: 0</t>
  </si>
  <si>
    <t>Solver Options</t>
  </si>
  <si>
    <t>Max Time 100 sec,  Iterations Unlimited, Precision 0.000001</t>
  </si>
  <si>
    <t>Max Subproblems Unlimited, Max Integer Sols Unlimited, Integer Tolerance 1%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</si>
  <si>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</si>
  <si>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</si>
  <si>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</si>
  <si>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</si>
  <si>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</si>
  <si>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</si>
  <si>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</si>
  <si>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</si>
  <si>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</si>
  <si>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</si>
  <si>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</si>
  <si>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$D$3</t>
  </si>
  <si>
    <t>$B$2</t>
  </si>
  <si>
    <t>number Steel</t>
  </si>
  <si>
    <t>Contin</t>
  </si>
  <si>
    <t>$C$2</t>
  </si>
  <si>
    <t>number Cast Iron</t>
  </si>
  <si>
    <t>$D$6</t>
  </si>
  <si>
    <t>Machine 1 Used</t>
  </si>
  <si>
    <t>$D$6&lt;=$E$6</t>
  </si>
  <si>
    <t>Binding</t>
  </si>
  <si>
    <t>$D$7</t>
  </si>
  <si>
    <t>Machine 2 Used</t>
  </si>
  <si>
    <t>$D$7&lt;=$E$7</t>
  </si>
  <si>
    <t>Not Binding</t>
  </si>
  <si>
    <t>$D$8</t>
  </si>
  <si>
    <t>Maintenance Used</t>
  </si>
  <si>
    <t>$D$8&lt;=$E$8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</si>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</sst>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47D7-EB0D-4097-B0B5-006EC60874F8}">
  <dimension ref="A1:G29"/>
  <sheetViews>
    <sheetView showGridLines="0" workbookViewId="0"/>
  </sheetViews>
  <sheetFormatPr defaultRowHeight="12.75" x14ac:dyDescent="0.2"/>
  <cols>
    <col min="1" max="1" width="2.28515625" customWidth="1"/>
    <col min="2" max="2" width="5.28515625" bestFit="1" customWidth="1"/>
    <col min="3" max="3" width="16.5703125" bestFit="1" customWidth="1"/>
    <col min="4" max="4" width="14.28515625" bestFit="1" customWidth="1"/>
    <col min="5" max="5" width="11.85546875" bestFit="1" customWidth="1"/>
    <col min="6" max="6" width="10.5703125" bestFit="1" customWidth="1"/>
    <col min="7" max="7" width="6" bestFit="1" customWidth="1"/>
  </cols>
  <sheetData>
    <row r="1" spans="1:5" x14ac:dyDescent="0.2">
      <c r="A1" s="1" t="s">
        <v>10</v>
      </c>
    </row>
    <row r="2" spans="1:5" x14ac:dyDescent="0.2">
      <c r="A2" s="1" t="s">
        <v>11</v>
      </c>
    </row>
    <row r="3" spans="1:5" x14ac:dyDescent="0.2">
      <c r="A3" s="1" t="s">
        <v>12</v>
      </c>
    </row>
    <row r="4" spans="1:5" x14ac:dyDescent="0.2">
      <c r="A4" s="1" t="s">
        <v>13</v>
      </c>
    </row>
    <row r="5" spans="1:5" x14ac:dyDescent="0.2">
      <c r="A5" s="1" t="s">
        <v>14</v>
      </c>
    </row>
    <row r="6" spans="1:5" x14ac:dyDescent="0.2">
      <c r="A6" s="1"/>
      <c r="B6" t="s">
        <v>15</v>
      </c>
    </row>
    <row r="7" spans="1:5" x14ac:dyDescent="0.2">
      <c r="A7" s="1"/>
      <c r="B7" t="s">
        <v>16</v>
      </c>
    </row>
    <row r="8" spans="1:5" x14ac:dyDescent="0.2">
      <c r="A8" s="1"/>
      <c r="B8" t="s">
        <v>17</v>
      </c>
    </row>
    <row r="9" spans="1:5" x14ac:dyDescent="0.2">
      <c r="A9" s="1" t="s">
        <v>18</v>
      </c>
    </row>
    <row r="10" spans="1:5" x14ac:dyDescent="0.2">
      <c r="B10" t="s">
        <v>19</v>
      </c>
    </row>
    <row r="11" spans="1:5" x14ac:dyDescent="0.2">
      <c r="B11" t="s">
        <v>20</v>
      </c>
    </row>
    <row r="14" spans="1:5" ht="13.5" thickBot="1" x14ac:dyDescent="0.25">
      <c r="A14" t="s">
        <v>21</v>
      </c>
    </row>
    <row r="15" spans="1:5" ht="13.5" thickBot="1" x14ac:dyDescent="0.25">
      <c r="B15" s="3" t="s">
        <v>22</v>
      </c>
      <c r="C15" s="3" t="s">
        <v>23</v>
      </c>
      <c r="D15" s="3" t="s">
        <v>24</v>
      </c>
      <c r="E15" s="3" t="s">
        <v>25</v>
      </c>
    </row>
    <row r="16" spans="1:5" ht="13.5" thickBot="1" x14ac:dyDescent="0.25">
      <c r="B16" s="2" t="s">
        <v>32</v>
      </c>
      <c r="C16" s="2" t="s">
        <v>3</v>
      </c>
      <c r="D16" s="5">
        <v>120</v>
      </c>
      <c r="E16" s="5">
        <v>456</v>
      </c>
    </row>
    <row r="19" spans="1:7" ht="13.5" thickBot="1" x14ac:dyDescent="0.25">
      <c r="A19" t="s">
        <v>26</v>
      </c>
    </row>
    <row r="20" spans="1:7" ht="13.5" thickBot="1" x14ac:dyDescent="0.25">
      <c r="B20" s="3" t="s">
        <v>22</v>
      </c>
      <c r="C20" s="3" t="s">
        <v>23</v>
      </c>
      <c r="D20" s="3" t="s">
        <v>24</v>
      </c>
      <c r="E20" s="3" t="s">
        <v>25</v>
      </c>
      <c r="F20" s="3" t="s">
        <v>27</v>
      </c>
    </row>
    <row r="21" spans="1:7" x14ac:dyDescent="0.2">
      <c r="B21" s="4" t="s">
        <v>33</v>
      </c>
      <c r="C21" s="4" t="s">
        <v>34</v>
      </c>
      <c r="D21" s="6">
        <v>0</v>
      </c>
      <c r="E21" s="6">
        <v>3.6</v>
      </c>
      <c r="F21" s="4" t="s">
        <v>35</v>
      </c>
    </row>
    <row r="22" spans="1:7" ht="13.5" thickBot="1" x14ac:dyDescent="0.25">
      <c r="B22" s="2" t="s">
        <v>36</v>
      </c>
      <c r="C22" s="2" t="s">
        <v>37</v>
      </c>
      <c r="D22" s="5">
        <v>1</v>
      </c>
      <c r="E22" s="5">
        <v>0.79999999999999993</v>
      </c>
      <c r="F22" s="2" t="s">
        <v>35</v>
      </c>
    </row>
    <row r="25" spans="1:7" ht="13.5" thickBot="1" x14ac:dyDescent="0.25">
      <c r="A25" t="s">
        <v>4</v>
      </c>
    </row>
    <row r="26" spans="1:7" ht="13.5" thickBot="1" x14ac:dyDescent="0.25">
      <c r="B26" s="3" t="s">
        <v>22</v>
      </c>
      <c r="C26" s="3" t="s">
        <v>23</v>
      </c>
      <c r="D26" s="3" t="s">
        <v>28</v>
      </c>
      <c r="E26" s="3" t="s">
        <v>29</v>
      </c>
      <c r="F26" s="3" t="s">
        <v>30</v>
      </c>
      <c r="G26" s="3" t="s">
        <v>31</v>
      </c>
    </row>
    <row r="27" spans="1:7" x14ac:dyDescent="0.2">
      <c r="B27" s="4" t="s">
        <v>38</v>
      </c>
      <c r="C27" s="4" t="s">
        <v>39</v>
      </c>
      <c r="D27" s="6">
        <v>8</v>
      </c>
      <c r="E27" s="4" t="s">
        <v>40</v>
      </c>
      <c r="F27" s="4" t="s">
        <v>41</v>
      </c>
      <c r="G27" s="4">
        <v>0</v>
      </c>
    </row>
    <row r="28" spans="1:7" x14ac:dyDescent="0.2">
      <c r="B28" s="4" t="s">
        <v>42</v>
      </c>
      <c r="C28" s="4" t="s">
        <v>43</v>
      </c>
      <c r="D28" s="6">
        <v>6</v>
      </c>
      <c r="E28" s="4" t="s">
        <v>44</v>
      </c>
      <c r="F28" s="4" t="s">
        <v>45</v>
      </c>
      <c r="G28" s="4">
        <v>2</v>
      </c>
    </row>
    <row r="29" spans="1:7" ht="13.5" thickBot="1" x14ac:dyDescent="0.25">
      <c r="B29" s="2" t="s">
        <v>46</v>
      </c>
      <c r="C29" s="2" t="s">
        <v>47</v>
      </c>
      <c r="D29" s="5">
        <v>4</v>
      </c>
      <c r="E29" s="2" t="s">
        <v>48</v>
      </c>
      <c r="F29" s="2" t="s">
        <v>41</v>
      </c>
      <c r="G2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DA83-A6C0-4092-A3ED-B1FA8ABEA923}">
  <dimension ref="A1:H17"/>
  <sheetViews>
    <sheetView showGridLines="0" workbookViewId="0">
      <selection activeCell="E17" sqref="E17"/>
    </sheetView>
  </sheetViews>
  <sheetFormatPr defaultRowHeight="12.75" x14ac:dyDescent="0.2"/>
  <cols>
    <col min="1" max="1" width="2.28515625" customWidth="1"/>
    <col min="2" max="2" width="5.28515625" bestFit="1" customWidth="1"/>
    <col min="3" max="3" width="16.5703125" bestFit="1" customWidth="1"/>
    <col min="4" max="4" width="6.28515625" bestFit="1" customWidth="1"/>
    <col min="5" max="5" width="9" bestFit="1" customWidth="1"/>
    <col min="6" max="6" width="10.7109375" bestFit="1" customWidth="1"/>
    <col min="7" max="8" width="12" bestFit="1" customWidth="1"/>
  </cols>
  <sheetData>
    <row r="1" spans="1:8" x14ac:dyDescent="0.2">
      <c r="A1" s="1" t="s">
        <v>49</v>
      </c>
    </row>
    <row r="2" spans="1:8" x14ac:dyDescent="0.2">
      <c r="A2" s="1" t="s">
        <v>11</v>
      </c>
    </row>
    <row r="3" spans="1:8" x14ac:dyDescent="0.2">
      <c r="A3" s="1" t="s">
        <v>12</v>
      </c>
    </row>
    <row r="6" spans="1:8" ht="13.5" thickBot="1" x14ac:dyDescent="0.25">
      <c r="A6" t="s">
        <v>26</v>
      </c>
    </row>
    <row r="7" spans="1:8" x14ac:dyDescent="0.2">
      <c r="B7" s="7"/>
      <c r="C7" s="7"/>
      <c r="D7" s="7" t="s">
        <v>50</v>
      </c>
      <c r="E7" s="7" t="s">
        <v>52</v>
      </c>
      <c r="F7" s="7" t="s">
        <v>54</v>
      </c>
      <c r="G7" s="7" t="s">
        <v>56</v>
      </c>
      <c r="H7" s="7" t="s">
        <v>56</v>
      </c>
    </row>
    <row r="8" spans="1:8" ht="13.5" thickBot="1" x14ac:dyDescent="0.25">
      <c r="B8" s="8" t="s">
        <v>22</v>
      </c>
      <c r="C8" s="8" t="s">
        <v>23</v>
      </c>
      <c r="D8" s="8" t="s">
        <v>51</v>
      </c>
      <c r="E8" s="8" t="s">
        <v>53</v>
      </c>
      <c r="F8" s="8" t="s">
        <v>55</v>
      </c>
      <c r="G8" s="8" t="s">
        <v>57</v>
      </c>
      <c r="H8" s="8" t="s">
        <v>58</v>
      </c>
    </row>
    <row r="9" spans="1:8" x14ac:dyDescent="0.2">
      <c r="B9" s="4" t="s">
        <v>33</v>
      </c>
      <c r="C9" s="4" t="s">
        <v>34</v>
      </c>
      <c r="D9" s="4">
        <v>3.6</v>
      </c>
      <c r="E9" s="4">
        <v>0</v>
      </c>
      <c r="F9" s="4">
        <v>100</v>
      </c>
      <c r="G9" s="4">
        <v>140</v>
      </c>
      <c r="H9" s="4">
        <v>19.999999999999989</v>
      </c>
    </row>
    <row r="10" spans="1:8" ht="13.5" thickBot="1" x14ac:dyDescent="0.25">
      <c r="B10" s="2" t="s">
        <v>36</v>
      </c>
      <c r="C10" s="2" t="s">
        <v>37</v>
      </c>
      <c r="D10" s="2">
        <v>0.79999999999999993</v>
      </c>
      <c r="E10" s="2">
        <v>0</v>
      </c>
      <c r="F10" s="2">
        <v>120</v>
      </c>
      <c r="G10" s="2">
        <v>29.999999999999979</v>
      </c>
      <c r="H10" s="2">
        <v>70</v>
      </c>
    </row>
    <row r="12" spans="1:8" ht="13.5" thickBot="1" x14ac:dyDescent="0.25">
      <c r="A12" t="s">
        <v>4</v>
      </c>
    </row>
    <row r="13" spans="1:8" x14ac:dyDescent="0.2">
      <c r="B13" s="7"/>
      <c r="C13" s="7"/>
      <c r="D13" s="7" t="s">
        <v>50</v>
      </c>
      <c r="E13" s="7" t="s">
        <v>59</v>
      </c>
      <c r="F13" s="7" t="s">
        <v>61</v>
      </c>
      <c r="G13" s="7" t="s">
        <v>56</v>
      </c>
      <c r="H13" s="7" t="s">
        <v>56</v>
      </c>
    </row>
    <row r="14" spans="1:8" ht="13.5" thickBot="1" x14ac:dyDescent="0.25">
      <c r="B14" s="8" t="s">
        <v>22</v>
      </c>
      <c r="C14" s="8" t="s">
        <v>23</v>
      </c>
      <c r="D14" s="8" t="s">
        <v>51</v>
      </c>
      <c r="E14" s="8" t="s">
        <v>60</v>
      </c>
      <c r="F14" s="8" t="s">
        <v>62</v>
      </c>
      <c r="G14" s="8" t="s">
        <v>57</v>
      </c>
      <c r="H14" s="8" t="s">
        <v>58</v>
      </c>
    </row>
    <row r="15" spans="1:8" x14ac:dyDescent="0.2">
      <c r="B15" s="4" t="s">
        <v>38</v>
      </c>
      <c r="C15" s="4" t="s">
        <v>39</v>
      </c>
      <c r="D15" s="4">
        <v>8</v>
      </c>
      <c r="E15" s="4">
        <v>14.999999999999993</v>
      </c>
      <c r="F15" s="4">
        <v>8</v>
      </c>
      <c r="G15" s="4">
        <v>1E+30</v>
      </c>
      <c r="H15" s="4">
        <v>2.6666666666666661</v>
      </c>
    </row>
    <row r="16" spans="1:8" x14ac:dyDescent="0.2">
      <c r="B16" s="4" t="s">
        <v>42</v>
      </c>
      <c r="C16" s="4" t="s">
        <v>43</v>
      </c>
      <c r="D16" s="4">
        <v>6</v>
      </c>
      <c r="E16" s="4">
        <v>0</v>
      </c>
      <c r="F16" s="4">
        <v>8</v>
      </c>
      <c r="G16" s="4">
        <v>1E+30</v>
      </c>
      <c r="H16" s="4">
        <v>2</v>
      </c>
    </row>
    <row r="17" spans="2:8" ht="13.5" thickBot="1" x14ac:dyDescent="0.25">
      <c r="B17" s="2" t="s">
        <v>46</v>
      </c>
      <c r="C17" s="2" t="s">
        <v>47</v>
      </c>
      <c r="D17" s="2">
        <v>4</v>
      </c>
      <c r="E17" s="2">
        <v>84.000000000000014</v>
      </c>
      <c r="F17" s="2">
        <v>4</v>
      </c>
      <c r="G17" s="2">
        <v>0.66666666666666652</v>
      </c>
      <c r="H17" s="2">
        <v>1E+30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B3C0-5F82-49D4-B7D2-8A1275D0D74A}">
  <dimension ref="A1:J14"/>
  <sheetViews>
    <sheetView showGridLines="0" workbookViewId="0"/>
  </sheetViews>
  <sheetFormatPr defaultRowHeight="12.75" x14ac:dyDescent="0.2"/>
  <cols>
    <col min="1" max="1" width="2.28515625" customWidth="1"/>
    <col min="2" max="2" width="5.28515625" bestFit="1" customWidth="1"/>
    <col min="3" max="3" width="15.28515625" bestFit="1" customWidth="1"/>
    <col min="4" max="4" width="6.28515625" bestFit="1" customWidth="1"/>
    <col min="5" max="5" width="2.28515625" customWidth="1"/>
    <col min="6" max="6" width="6.7109375" bestFit="1" customWidth="1"/>
    <col min="7" max="7" width="9.5703125" bestFit="1" customWidth="1"/>
    <col min="8" max="8" width="2.28515625" customWidth="1"/>
    <col min="9" max="9" width="6.42578125" bestFit="1" customWidth="1"/>
    <col min="10" max="10" width="9.5703125" bestFit="1" customWidth="1"/>
  </cols>
  <sheetData>
    <row r="1" spans="1:10" x14ac:dyDescent="0.2">
      <c r="A1" s="1" t="s">
        <v>63</v>
      </c>
    </row>
    <row r="2" spans="1:10" x14ac:dyDescent="0.2">
      <c r="A2" s="1" t="s">
        <v>11</v>
      </c>
    </row>
    <row r="3" spans="1:10" x14ac:dyDescent="0.2">
      <c r="A3" s="1" t="s">
        <v>12</v>
      </c>
    </row>
    <row r="5" spans="1:10" ht="13.5" thickBot="1" x14ac:dyDescent="0.25"/>
    <row r="6" spans="1:10" x14ac:dyDescent="0.2">
      <c r="B6" s="7"/>
      <c r="C6" s="7" t="s">
        <v>54</v>
      </c>
      <c r="D6" s="7"/>
    </row>
    <row r="7" spans="1:10" ht="13.5" thickBot="1" x14ac:dyDescent="0.25">
      <c r="B7" s="8" t="s">
        <v>22</v>
      </c>
      <c r="C7" s="8" t="s">
        <v>23</v>
      </c>
      <c r="D7" s="8" t="s">
        <v>51</v>
      </c>
    </row>
    <row r="8" spans="1:10" ht="13.5" thickBot="1" x14ac:dyDescent="0.25">
      <c r="B8" s="2" t="s">
        <v>32</v>
      </c>
      <c r="C8" s="2" t="s">
        <v>3</v>
      </c>
      <c r="D8" s="5">
        <v>456</v>
      </c>
    </row>
    <row r="10" spans="1:10" ht="13.5" thickBot="1" x14ac:dyDescent="0.25"/>
    <row r="11" spans="1:10" x14ac:dyDescent="0.2">
      <c r="B11" s="7"/>
      <c r="C11" s="7" t="s">
        <v>64</v>
      </c>
      <c r="D11" s="7"/>
      <c r="F11" s="7" t="s">
        <v>65</v>
      </c>
      <c r="G11" s="7" t="s">
        <v>54</v>
      </c>
      <c r="I11" s="7" t="s">
        <v>68</v>
      </c>
      <c r="J11" s="7" t="s">
        <v>54</v>
      </c>
    </row>
    <row r="12" spans="1:10" ht="13.5" thickBot="1" x14ac:dyDescent="0.25">
      <c r="B12" s="8" t="s">
        <v>22</v>
      </c>
      <c r="C12" s="8" t="s">
        <v>23</v>
      </c>
      <c r="D12" s="8" t="s">
        <v>51</v>
      </c>
      <c r="F12" s="8" t="s">
        <v>66</v>
      </c>
      <c r="G12" s="8" t="s">
        <v>67</v>
      </c>
      <c r="I12" s="8" t="s">
        <v>66</v>
      </c>
      <c r="J12" s="8" t="s">
        <v>67</v>
      </c>
    </row>
    <row r="13" spans="1:10" x14ac:dyDescent="0.2">
      <c r="B13" s="4" t="s">
        <v>33</v>
      </c>
      <c r="C13" s="4" t="s">
        <v>34</v>
      </c>
      <c r="D13" s="6">
        <v>3.6</v>
      </c>
      <c r="F13" s="4" t="e">
        <v>#N/A</v>
      </c>
      <c r="G13" s="4" t="e">
        <v>#N/A</v>
      </c>
      <c r="I13" s="6">
        <v>3.5999999999999996</v>
      </c>
      <c r="J13" s="6">
        <v>455.99999999999994</v>
      </c>
    </row>
    <row r="14" spans="1:10" ht="13.5" thickBot="1" x14ac:dyDescent="0.25">
      <c r="B14" s="2" t="s">
        <v>36</v>
      </c>
      <c r="C14" s="2" t="s">
        <v>37</v>
      </c>
      <c r="D14" s="5">
        <v>0.79999999999999993</v>
      </c>
      <c r="F14" s="2" t="e">
        <v>#N/A</v>
      </c>
      <c r="G14" s="2" t="e">
        <v>#N/A</v>
      </c>
      <c r="I14" s="5">
        <v>0.8</v>
      </c>
      <c r="J14" s="5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85" zoomScaleNormal="185" workbookViewId="0">
      <selection activeCell="A4" sqref="A4"/>
    </sheetView>
  </sheetViews>
  <sheetFormatPr defaultColWidth="11.5703125" defaultRowHeight="12.75" x14ac:dyDescent="0.2"/>
  <cols>
    <col min="1" max="1" width="14.5703125" customWidth="1"/>
  </cols>
  <sheetData>
    <row r="1" spans="1:5" x14ac:dyDescent="0.2">
      <c r="B1" t="s">
        <v>0</v>
      </c>
      <c r="C1" t="s">
        <v>1</v>
      </c>
    </row>
    <row r="2" spans="1:5" x14ac:dyDescent="0.2">
      <c r="A2" t="s">
        <v>2</v>
      </c>
      <c r="B2">
        <v>3.6</v>
      </c>
      <c r="C2">
        <v>0.79999999999999993</v>
      </c>
      <c r="D2" t="s">
        <v>3</v>
      </c>
    </row>
    <row r="3" spans="1:5" x14ac:dyDescent="0.2">
      <c r="B3">
        <v>100</v>
      </c>
      <c r="C3">
        <v>120</v>
      </c>
      <c r="D3">
        <f>$B$2*B3+$C$2*C3</f>
        <v>456</v>
      </c>
    </row>
    <row r="5" spans="1:5" x14ac:dyDescent="0.2">
      <c r="A5" t="s">
        <v>4</v>
      </c>
      <c r="D5" t="s">
        <v>5</v>
      </c>
      <c r="E5" t="s">
        <v>6</v>
      </c>
    </row>
    <row r="6" spans="1:5" x14ac:dyDescent="0.2">
      <c r="A6" t="s">
        <v>7</v>
      </c>
      <c r="B6">
        <v>2</v>
      </c>
      <c r="C6">
        <v>1</v>
      </c>
      <c r="D6">
        <f>$B$2*B6+$C$2*C6</f>
        <v>8</v>
      </c>
      <c r="E6">
        <v>8</v>
      </c>
    </row>
    <row r="7" spans="1:5" x14ac:dyDescent="0.2">
      <c r="A7" t="s">
        <v>8</v>
      </c>
      <c r="B7">
        <v>1</v>
      </c>
      <c r="C7">
        <v>3</v>
      </c>
      <c r="D7">
        <f>$B$2*B7+$C$2*C7</f>
        <v>6</v>
      </c>
      <c r="E7">
        <v>8</v>
      </c>
    </row>
    <row r="8" spans="1:5" x14ac:dyDescent="0.2">
      <c r="A8" t="s">
        <v>9</v>
      </c>
      <c r="B8">
        <f>5/6</f>
        <v>0.83333333333333337</v>
      </c>
      <c r="C8">
        <f>5/4</f>
        <v>1.25</v>
      </c>
      <c r="D8">
        <f>$B$2*B8+$C$2*C8</f>
        <v>4</v>
      </c>
      <c r="E8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Бойко Моисов Амаров</cp:lastModifiedBy>
  <cp:revision>1</cp:revision>
  <dcterms:created xsi:type="dcterms:W3CDTF">2026-03-05T12:17:58Z</dcterms:created>
  <dcterms:modified xsi:type="dcterms:W3CDTF">2026-03-05T08:59:37Z</dcterms:modified>
  <dc:language>en-US</dc:language>
</cp:coreProperties>
</file>