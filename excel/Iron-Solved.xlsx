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oyko Amarov\stats\opt2026\excel\"/>
    </mc:Choice>
  </mc:AlternateContent>
  <xr:revisionPtr revIDLastSave="0" documentId="8_{FFE46B73-8226-4027-A6F1-864D0FE65253}" xr6:coauthVersionLast="47" xr6:coauthVersionMax="47" xr10:uidLastSave="{00000000-0000-0000-0000-000000000000}"/>
  <bookViews>
    <workbookView xWindow="18855" yWindow="7095" windowWidth="22725" windowHeight="11760" activeTab="2" xr2:uid="{0523898A-B3E3-4CD9-9839-CC2B801718FC}"/>
  </bookViews>
  <sheets>
    <sheet name="Answer Report 1" sheetId="11" r:id="rId1"/>
    <sheet name="Sensitivity Report 1" sheetId="12" r:id="rId2"/>
    <sheet name="Model" sheetId="1" r:id="rId3"/>
  </sheets>
  <definedNames>
    <definedName name="coin_cuttype" localSheetId="2" hidden="1">1</definedName>
    <definedName name="coin_dualtol" localSheetId="2" hidden="1">0.0000001</definedName>
    <definedName name="coin_heurs" localSheetId="2" hidden="1">1</definedName>
    <definedName name="coin_integerpresolve" localSheetId="2" hidden="1">1</definedName>
    <definedName name="coin_presolve1" localSheetId="2" hidden="1">1</definedName>
    <definedName name="coin_primaltol" localSheetId="2" hidden="1">0.0000001</definedName>
    <definedName name="solver_adj" localSheetId="2" hidden="1">Model!$B$2:$C$2</definedName>
    <definedName name="solver_cvg" localSheetId="2" hidden="1">0.0001</definedName>
    <definedName name="solver_drv" localSheetId="2" hidden="1">1</definedName>
    <definedName name="solver_eng" localSheetId="0" hidden="1">0</definedName>
    <definedName name="solver_eng" localSheetId="2" hidden="1">2</definedName>
    <definedName name="solver_eng" localSheetId="1" hidden="1">0</definedName>
    <definedName name="solver_est" localSheetId="2" hidden="1">1</definedName>
    <definedName name="solver_itr" localSheetId="2" hidden="1">2147483647</definedName>
    <definedName name="solver_lhs1" localSheetId="2" hidden="1">Model!$D$6:$D$8</definedName>
    <definedName name="solver_lhs2" localSheetId="2" hidden="1">Model!$D$6:$D$8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1</definedName>
    <definedName name="solver_nwt" localSheetId="2" hidden="1">1</definedName>
    <definedName name="solver_opt" localSheetId="2" hidden="1">Model!$D$3</definedName>
    <definedName name="solver_pre" localSheetId="2" hidden="1">0.000001</definedName>
    <definedName name="solver_rbv" localSheetId="2" hidden="1">1</definedName>
    <definedName name="solver_rel1" localSheetId="2" hidden="1">1</definedName>
    <definedName name="solver_rel2" localSheetId="2" hidden="1">1</definedName>
    <definedName name="solver_rhs1" localSheetId="2" hidden="1">Model!$E$6:$E$8</definedName>
    <definedName name="solver_rhs2" localSheetId="2" hidden="1">Model!$E$6:$E$8</definedName>
    <definedName name="solver_rlx" localSheetId="2" hidden="1">2</definedName>
    <definedName name="solver_rsd" localSheetId="2" hidden="1">0</definedName>
    <definedName name="solver_rxc2" localSheetId="2" hidden="1">1</definedName>
    <definedName name="solver_rxv" localSheetId="2" hidden="1">1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1</definedName>
    <definedName name="solver_val" localSheetId="2" hidden="1">0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D7" i="1"/>
  <c r="D6" i="1"/>
  <c r="C8" i="1"/>
  <c r="B8" i="1"/>
  <c r="D3" i="1"/>
</calcChain>
</file>

<file path=xl/sharedStrings.xml><?xml version="1.0" encoding="utf-8"?>
<sst xmlns="http://schemas.openxmlformats.org/spreadsheetml/2006/main" count="98" uniqueCount="63">
  <si>
    <t>Steel</t>
  </si>
  <si>
    <t>Cast Iron</t>
  </si>
  <si>
    <t>number</t>
  </si>
  <si>
    <t>Constraints</t>
  </si>
  <si>
    <t>Machine 1</t>
  </si>
  <si>
    <t>Profit</t>
  </si>
  <si>
    <t>Available</t>
  </si>
  <si>
    <t>Used</t>
  </si>
  <si>
    <t>Machine 2</t>
  </si>
  <si>
    <t>Maintenance</t>
  </si>
  <si>
    <t>Microsoft Excel 16.0 Sensitivity Report</t>
  </si>
  <si>
    <t>Variable Cells</t>
  </si>
  <si>
    <t>Cell</t>
  </si>
  <si>
    <t>Name</t>
  </si>
  <si>
    <t>Final</t>
  </si>
  <si>
    <t>Value</t>
  </si>
  <si>
    <t>Reduced</t>
  </si>
  <si>
    <t>$B$2</t>
  </si>
  <si>
    <t>number Steel</t>
  </si>
  <si>
    <t>$C$2</t>
  </si>
  <si>
    <t>number Cast Iron</t>
  </si>
  <si>
    <t>$D$6</t>
  </si>
  <si>
    <t>Machine 1 Used</t>
  </si>
  <si>
    <t>$D$7</t>
  </si>
  <si>
    <t>Machine 2 Used</t>
  </si>
  <si>
    <t>$D$8</t>
  </si>
  <si>
    <t>Maintenance Used</t>
  </si>
  <si>
    <t>Cost</t>
  </si>
  <si>
    <t>Objective</t>
  </si>
  <si>
    <t>Coefficient</t>
  </si>
  <si>
    <t>Allowable</t>
  </si>
  <si>
    <t>Increase</t>
  </si>
  <si>
    <t>Decrease</t>
  </si>
  <si>
    <t>Shadow</t>
  </si>
  <si>
    <t>Price</t>
  </si>
  <si>
    <t>Constraint</t>
  </si>
  <si>
    <t>R.H. Side</t>
  </si>
  <si>
    <t>Objective Cell (Max)</t>
  </si>
  <si>
    <t>Original Value</t>
  </si>
  <si>
    <t>Final Value</t>
  </si>
  <si>
    <t>Slack</t>
  </si>
  <si>
    <t>Worksheet: [Iron-Solved1.xlsx]Model</t>
  </si>
  <si>
    <t>Microsoft Excel 16.0 Answer Report</t>
  </si>
  <si>
    <t>Report Created: 3/5/2026 12:16:22 PM</t>
  </si>
  <si>
    <t>Result: Solver found a solution.  All Constraints and optimality conditions are satisfied.</t>
  </si>
  <si>
    <t>Solver Engine</t>
  </si>
  <si>
    <t>Engine: Simplex LP</t>
  </si>
  <si>
    <t>Solution Time: 0 Seconds.</t>
  </si>
  <si>
    <t>Iterations: 2 Subproblems: 0</t>
  </si>
  <si>
    <t>Solver Options</t>
  </si>
  <si>
    <t>Max Time Unlimited,  Iterations Unlimited, Precision 0.000001, Use Automatic Scaling</t>
  </si>
  <si>
    <t>Max Subproblems Unlimited, Max Integer Sols Unlimited, Integer Tolerance 1%, Assume NonNegative</t>
  </si>
  <si>
    <t>Integer</t>
  </si>
  <si>
    <t>Cell Value</t>
  </si>
  <si>
    <t>Formula</t>
  </si>
  <si>
    <t>Status</t>
  </si>
  <si>
    <t>$D$3</t>
  </si>
  <si>
    <t>Contin</t>
  </si>
  <si>
    <t>$D$6&lt;=$E$6</t>
  </si>
  <si>
    <t>Binding</t>
  </si>
  <si>
    <t>$D$7&lt;=$E$7</t>
  </si>
  <si>
    <t>Not Binding</t>
  </si>
  <si>
    <t>$D$8&lt;=$E$8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</si>
</sst>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1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medium">
        <color indexed="23"/>
      </top>
      <bottom style="medium">
        <color indexed="23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3" xfId="0" applyFill="1" applyBorder="1" applyAlignment="1"/>
    <xf numFmtId="0" fontId="0" fillId="0" borderId="4" xfId="0" applyFill="1" applyBorder="1" applyAlignment="1"/>
    <xf numFmtId="0" fontId="2" fillId="0" borderId="1" xfId="0" applyFont="1" applyFill="1" applyBorder="1" applyAlignment="1">
      <alignment horizontal="center"/>
    </xf>
    <xf numFmtId="0" fontId="2" fillId="0" borderId="2" xfId="0" applyFont="1" applyFill="1" applyBorder="1" applyAlignment="1">
      <alignment horizontal="center"/>
    </xf>
    <xf numFmtId="0" fontId="2" fillId="0" borderId="5" xfId="0" applyFont="1" applyFill="1" applyBorder="1" applyAlignment="1">
      <alignment horizontal="center"/>
    </xf>
    <xf numFmtId="0" fontId="0" fillId="0" borderId="4" xfId="0" applyNumberFormat="1" applyFill="1" applyBorder="1" applyAlignment="1"/>
    <xf numFmtId="0" fontId="0" fillId="0" borderId="3" xfId="0" applyNumberForma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21F268-08C7-4D16-93D5-A0BDB115E551}">
  <we:reference id="WA104100404" version="3.0.0.1" store="Omex" storeType="OMEX"/>
  <we:alternateReferences>
    <we:reference id="WA104100404" version="3.0.0.1" store="WA104100404" storeType="OMEX"/>
  </we:alternateReferences>
  <we:properties>
    <we:property name="UniqueID" value="&quot;2026251772704847926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3BA65-714C-44EB-9E4B-8A15BF6679B0}">
  <dimension ref="A1:G29"/>
  <sheetViews>
    <sheetView showGridLines="0" topLeftCell="A15" workbookViewId="0"/>
  </sheetViews>
  <sheetFormatPr defaultRowHeight="15" x14ac:dyDescent="0.25"/>
  <cols>
    <col min="1" max="1" width="2.28515625" customWidth="1"/>
    <col min="2" max="2" width="5.28515625" bestFit="1" customWidth="1"/>
    <col min="3" max="3" width="17.5703125" bestFit="1" customWidth="1"/>
    <col min="4" max="4" width="13.5703125" bestFit="1" customWidth="1"/>
    <col min="5" max="6" width="11.28515625" bestFit="1" customWidth="1"/>
    <col min="7" max="7" width="5.7109375" bestFit="1" customWidth="1"/>
  </cols>
  <sheetData>
    <row r="1" spans="1:5" x14ac:dyDescent="0.25">
      <c r="A1" s="1" t="s">
        <v>42</v>
      </c>
    </row>
    <row r="2" spans="1:5" x14ac:dyDescent="0.25">
      <c r="A2" s="1" t="s">
        <v>41</v>
      </c>
    </row>
    <row r="3" spans="1:5" x14ac:dyDescent="0.25">
      <c r="A3" s="1" t="s">
        <v>43</v>
      </c>
    </row>
    <row r="4" spans="1:5" x14ac:dyDescent="0.25">
      <c r="A4" s="1" t="s">
        <v>44</v>
      </c>
    </row>
    <row r="5" spans="1:5" x14ac:dyDescent="0.25">
      <c r="A5" s="1" t="s">
        <v>45</v>
      </c>
    </row>
    <row r="6" spans="1:5" x14ac:dyDescent="0.25">
      <c r="A6" s="1"/>
      <c r="B6" t="s">
        <v>46</v>
      </c>
    </row>
    <row r="7" spans="1:5" x14ac:dyDescent="0.25">
      <c r="A7" s="1"/>
      <c r="B7" t="s">
        <v>47</v>
      </c>
    </row>
    <row r="8" spans="1:5" x14ac:dyDescent="0.25">
      <c r="A8" s="1"/>
      <c r="B8" t="s">
        <v>48</v>
      </c>
    </row>
    <row r="9" spans="1:5" x14ac:dyDescent="0.25">
      <c r="A9" s="1" t="s">
        <v>49</v>
      </c>
    </row>
    <row r="10" spans="1:5" x14ac:dyDescent="0.25">
      <c r="B10" t="s">
        <v>50</v>
      </c>
    </row>
    <row r="11" spans="1:5" x14ac:dyDescent="0.25">
      <c r="B11" t="s">
        <v>51</v>
      </c>
    </row>
    <row r="14" spans="1:5" ht="15.75" thickBot="1" x14ac:dyDescent="0.3">
      <c r="A14" t="s">
        <v>37</v>
      </c>
    </row>
    <row r="15" spans="1:5" ht="15.75" thickBot="1" x14ac:dyDescent="0.3">
      <c r="B15" s="6" t="s">
        <v>12</v>
      </c>
      <c r="C15" s="6" t="s">
        <v>13</v>
      </c>
      <c r="D15" s="6" t="s">
        <v>38</v>
      </c>
      <c r="E15" s="6" t="s">
        <v>39</v>
      </c>
    </row>
    <row r="16" spans="1:5" ht="15.75" thickBot="1" x14ac:dyDescent="0.3">
      <c r="B16" s="3" t="s">
        <v>56</v>
      </c>
      <c r="C16" s="3" t="s">
        <v>5</v>
      </c>
      <c r="D16" s="7">
        <v>0</v>
      </c>
      <c r="E16" s="7">
        <v>548</v>
      </c>
    </row>
    <row r="19" spans="1:7" ht="15.75" thickBot="1" x14ac:dyDescent="0.3">
      <c r="A19" t="s">
        <v>11</v>
      </c>
    </row>
    <row r="20" spans="1:7" ht="15.75" thickBot="1" x14ac:dyDescent="0.3">
      <c r="B20" s="6" t="s">
        <v>12</v>
      </c>
      <c r="C20" s="6" t="s">
        <v>13</v>
      </c>
      <c r="D20" s="6" t="s">
        <v>38</v>
      </c>
      <c r="E20" s="6" t="s">
        <v>39</v>
      </c>
      <c r="F20" s="6" t="s">
        <v>52</v>
      </c>
    </row>
    <row r="21" spans="1:7" x14ac:dyDescent="0.25">
      <c r="B21" s="2" t="s">
        <v>17</v>
      </c>
      <c r="C21" s="2" t="s">
        <v>18</v>
      </c>
      <c r="D21" s="8">
        <v>0</v>
      </c>
      <c r="E21" s="8">
        <v>3.6</v>
      </c>
      <c r="F21" s="2" t="s">
        <v>57</v>
      </c>
    </row>
    <row r="22" spans="1:7" ht="15.75" thickBot="1" x14ac:dyDescent="0.3">
      <c r="B22" s="3" t="s">
        <v>19</v>
      </c>
      <c r="C22" s="3" t="s">
        <v>20</v>
      </c>
      <c r="D22" s="7">
        <v>0</v>
      </c>
      <c r="E22" s="7">
        <v>0.79999999999999993</v>
      </c>
      <c r="F22" s="3" t="s">
        <v>57</v>
      </c>
    </row>
    <row r="25" spans="1:7" ht="15.75" thickBot="1" x14ac:dyDescent="0.3">
      <c r="A25" t="s">
        <v>3</v>
      </c>
    </row>
    <row r="26" spans="1:7" ht="15.75" thickBot="1" x14ac:dyDescent="0.3">
      <c r="B26" s="6" t="s">
        <v>12</v>
      </c>
      <c r="C26" s="6" t="s">
        <v>13</v>
      </c>
      <c r="D26" s="6" t="s">
        <v>53</v>
      </c>
      <c r="E26" s="6" t="s">
        <v>54</v>
      </c>
      <c r="F26" s="6" t="s">
        <v>55</v>
      </c>
      <c r="G26" s="6" t="s">
        <v>40</v>
      </c>
    </row>
    <row r="27" spans="1:7" x14ac:dyDescent="0.25">
      <c r="B27" s="2" t="s">
        <v>21</v>
      </c>
      <c r="C27" s="2" t="s">
        <v>22</v>
      </c>
      <c r="D27" s="8">
        <v>8</v>
      </c>
      <c r="E27" s="2" t="s">
        <v>58</v>
      </c>
      <c r="F27" s="2" t="s">
        <v>59</v>
      </c>
      <c r="G27" s="2">
        <v>0</v>
      </c>
    </row>
    <row r="28" spans="1:7" x14ac:dyDescent="0.25">
      <c r="B28" s="2" t="s">
        <v>23</v>
      </c>
      <c r="C28" s="2" t="s">
        <v>24</v>
      </c>
      <c r="D28" s="8">
        <v>6</v>
      </c>
      <c r="E28" s="2" t="s">
        <v>60</v>
      </c>
      <c r="F28" s="2" t="s">
        <v>61</v>
      </c>
      <c r="G28" s="2">
        <v>2</v>
      </c>
    </row>
    <row r="29" spans="1:7" ht="15.75" thickBot="1" x14ac:dyDescent="0.3">
      <c r="B29" s="3" t="s">
        <v>25</v>
      </c>
      <c r="C29" s="3" t="s">
        <v>26</v>
      </c>
      <c r="D29" s="7">
        <v>4</v>
      </c>
      <c r="E29" s="3" t="s">
        <v>62</v>
      </c>
      <c r="F29" s="3" t="s">
        <v>59</v>
      </c>
      <c r="G29" s="3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F8026-9D86-4797-9DDA-675BA1C6C6A0}">
  <dimension ref="A1:H17"/>
  <sheetViews>
    <sheetView showGridLines="0" workbookViewId="0"/>
  </sheetViews>
  <sheetFormatPr defaultRowHeight="15" x14ac:dyDescent="0.25"/>
  <cols>
    <col min="1" max="1" width="2.28515625" customWidth="1"/>
    <col min="2" max="2" width="5.28515625" bestFit="1" customWidth="1"/>
    <col min="3" max="3" width="17.5703125" bestFit="1" customWidth="1"/>
    <col min="4" max="4" width="6" bestFit="1" customWidth="1"/>
    <col min="5" max="5" width="9" bestFit="1" customWidth="1"/>
    <col min="6" max="6" width="11.28515625" bestFit="1" customWidth="1"/>
    <col min="7" max="8" width="12" bestFit="1" customWidth="1"/>
  </cols>
  <sheetData>
    <row r="1" spans="1:8" x14ac:dyDescent="0.25">
      <c r="A1" s="1" t="s">
        <v>10</v>
      </c>
    </row>
    <row r="2" spans="1:8" x14ac:dyDescent="0.25">
      <c r="A2" s="1" t="s">
        <v>41</v>
      </c>
    </row>
    <row r="3" spans="1:8" x14ac:dyDescent="0.25">
      <c r="A3" s="1" t="s">
        <v>43</v>
      </c>
    </row>
    <row r="6" spans="1:8" ht="15.75" thickBot="1" x14ac:dyDescent="0.3">
      <c r="A6" t="s">
        <v>11</v>
      </c>
    </row>
    <row r="7" spans="1:8" x14ac:dyDescent="0.25">
      <c r="B7" s="4"/>
      <c r="C7" s="4"/>
      <c r="D7" s="4" t="s">
        <v>14</v>
      </c>
      <c r="E7" s="4" t="s">
        <v>16</v>
      </c>
      <c r="F7" s="4" t="s">
        <v>28</v>
      </c>
      <c r="G7" s="4" t="s">
        <v>30</v>
      </c>
      <c r="H7" s="4" t="s">
        <v>30</v>
      </c>
    </row>
    <row r="8" spans="1:8" ht="15.75" thickBot="1" x14ac:dyDescent="0.3">
      <c r="B8" s="5" t="s">
        <v>12</v>
      </c>
      <c r="C8" s="5" t="s">
        <v>13</v>
      </c>
      <c r="D8" s="5" t="s">
        <v>15</v>
      </c>
      <c r="E8" s="5" t="s">
        <v>27</v>
      </c>
      <c r="F8" s="5" t="s">
        <v>29</v>
      </c>
      <c r="G8" s="5" t="s">
        <v>31</v>
      </c>
      <c r="H8" s="5" t="s">
        <v>32</v>
      </c>
    </row>
    <row r="9" spans="1:8" x14ac:dyDescent="0.25">
      <c r="B9" s="2" t="s">
        <v>17</v>
      </c>
      <c r="C9" s="2" t="s">
        <v>18</v>
      </c>
      <c r="D9" s="2">
        <v>3.6</v>
      </c>
      <c r="E9" s="2">
        <v>0</v>
      </c>
      <c r="F9" s="2">
        <v>130</v>
      </c>
      <c r="G9" s="2">
        <v>70</v>
      </c>
      <c r="H9" s="2">
        <v>63.333333333333336</v>
      </c>
    </row>
    <row r="10" spans="1:8" ht="15.75" thickBot="1" x14ac:dyDescent="0.3">
      <c r="B10" s="3" t="s">
        <v>19</v>
      </c>
      <c r="C10" s="3" t="s">
        <v>20</v>
      </c>
      <c r="D10" s="3">
        <v>0.79999999999999993</v>
      </c>
      <c r="E10" s="3">
        <v>0</v>
      </c>
      <c r="F10" s="3">
        <v>100</v>
      </c>
      <c r="G10" s="3">
        <v>94.999999999999986</v>
      </c>
      <c r="H10" s="3">
        <v>35</v>
      </c>
    </row>
    <row r="12" spans="1:8" ht="15.75" thickBot="1" x14ac:dyDescent="0.3">
      <c r="A12" t="s">
        <v>3</v>
      </c>
    </row>
    <row r="13" spans="1:8" x14ac:dyDescent="0.25">
      <c r="B13" s="4"/>
      <c r="C13" s="4"/>
      <c r="D13" s="4" t="s">
        <v>14</v>
      </c>
      <c r="E13" s="4" t="s">
        <v>33</v>
      </c>
      <c r="F13" s="4" t="s">
        <v>35</v>
      </c>
      <c r="G13" s="4" t="s">
        <v>30</v>
      </c>
      <c r="H13" s="4" t="s">
        <v>30</v>
      </c>
    </row>
    <row r="14" spans="1:8" ht="15.75" thickBot="1" x14ac:dyDescent="0.3">
      <c r="B14" s="5" t="s">
        <v>12</v>
      </c>
      <c r="C14" s="5" t="s">
        <v>13</v>
      </c>
      <c r="D14" s="5" t="s">
        <v>15</v>
      </c>
      <c r="E14" s="5" t="s">
        <v>34</v>
      </c>
      <c r="F14" s="5" t="s">
        <v>36</v>
      </c>
      <c r="G14" s="5" t="s">
        <v>31</v>
      </c>
      <c r="H14" s="5" t="s">
        <v>32</v>
      </c>
    </row>
    <row r="15" spans="1:8" x14ac:dyDescent="0.25">
      <c r="B15" s="2" t="s">
        <v>21</v>
      </c>
      <c r="C15" s="2" t="s">
        <v>22</v>
      </c>
      <c r="D15" s="2">
        <v>8</v>
      </c>
      <c r="E15" s="2">
        <v>47.5</v>
      </c>
      <c r="F15" s="2">
        <v>8</v>
      </c>
      <c r="G15" s="2">
        <v>1.5999999999999994</v>
      </c>
      <c r="H15" s="2">
        <v>2.6666666666666661</v>
      </c>
    </row>
    <row r="16" spans="1:8" x14ac:dyDescent="0.25">
      <c r="B16" s="2" t="s">
        <v>23</v>
      </c>
      <c r="C16" s="2" t="s">
        <v>24</v>
      </c>
      <c r="D16" s="2">
        <v>6</v>
      </c>
      <c r="E16" s="2">
        <v>0</v>
      </c>
      <c r="F16" s="2">
        <v>8</v>
      </c>
      <c r="G16" s="2">
        <v>1E+30</v>
      </c>
      <c r="H16" s="2">
        <v>2</v>
      </c>
    </row>
    <row r="17" spans="2:8" ht="15.75" thickBot="1" x14ac:dyDescent="0.3">
      <c r="B17" s="3" t="s">
        <v>25</v>
      </c>
      <c r="C17" s="3" t="s">
        <v>26</v>
      </c>
      <c r="D17" s="3">
        <v>4</v>
      </c>
      <c r="E17" s="3">
        <v>42.000000000000007</v>
      </c>
      <c r="F17" s="3">
        <v>4</v>
      </c>
      <c r="G17" s="3">
        <v>0.66666666666666652</v>
      </c>
      <c r="H17" s="3">
        <v>0.66666666666666652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AA3ED-279F-435C-8151-6AF09B8F9256}">
  <dimension ref="A1:E8"/>
  <sheetViews>
    <sheetView tabSelected="1" workbookViewId="0">
      <selection activeCell="A3" sqref="A3"/>
    </sheetView>
  </sheetViews>
  <sheetFormatPr defaultRowHeight="15" x14ac:dyDescent="0.25"/>
  <cols>
    <col min="1" max="1" width="11.5703125" customWidth="1"/>
  </cols>
  <sheetData>
    <row r="1" spans="1:5" x14ac:dyDescent="0.25">
      <c r="B1" t="s">
        <v>0</v>
      </c>
      <c r="C1" t="s">
        <v>1</v>
      </c>
    </row>
    <row r="2" spans="1:5" x14ac:dyDescent="0.25">
      <c r="A2" t="s">
        <v>2</v>
      </c>
      <c r="B2">
        <v>3.6</v>
      </c>
      <c r="C2">
        <v>0.79999999999999993</v>
      </c>
      <c r="D2" t="s">
        <v>5</v>
      </c>
    </row>
    <row r="3" spans="1:5" x14ac:dyDescent="0.25">
      <c r="B3">
        <v>130</v>
      </c>
      <c r="C3">
        <v>100</v>
      </c>
      <c r="D3">
        <f>$B$2*B3+$C$2*C3</f>
        <v>548</v>
      </c>
    </row>
    <row r="5" spans="1:5" x14ac:dyDescent="0.25">
      <c r="A5" t="s">
        <v>3</v>
      </c>
      <c r="D5" t="s">
        <v>7</v>
      </c>
      <c r="E5" t="s">
        <v>6</v>
      </c>
    </row>
    <row r="6" spans="1:5" x14ac:dyDescent="0.25">
      <c r="A6" t="s">
        <v>4</v>
      </c>
      <c r="B6">
        <v>2</v>
      </c>
      <c r="C6">
        <v>1</v>
      </c>
      <c r="D6">
        <f>$B$2*B6+$C$2*C6</f>
        <v>8</v>
      </c>
      <c r="E6">
        <v>8</v>
      </c>
    </row>
    <row r="7" spans="1:5" x14ac:dyDescent="0.25">
      <c r="A7" t="s">
        <v>8</v>
      </c>
      <c r="B7">
        <v>1</v>
      </c>
      <c r="C7">
        <v>3</v>
      </c>
      <c r="D7">
        <f>$B$2*B7+$C$2*C7</f>
        <v>6</v>
      </c>
      <c r="E7">
        <v>8</v>
      </c>
    </row>
    <row r="8" spans="1:5" x14ac:dyDescent="0.25">
      <c r="A8" t="s">
        <v>9</v>
      </c>
      <c r="B8">
        <f>5/6</f>
        <v>0.83333333333333337</v>
      </c>
      <c r="C8">
        <f>5/4</f>
        <v>1.25</v>
      </c>
      <c r="D8">
        <f>$B$2*B8+$C$2*C8</f>
        <v>4</v>
      </c>
      <c r="E8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Answer Report 1</vt:lpstr>
      <vt:lpstr>Sensitivity Report 1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Бойко Моисов Амаров</dc:creator>
  <cp:lastModifiedBy>Бойко Моисов Амаров</cp:lastModifiedBy>
  <dcterms:created xsi:type="dcterms:W3CDTF">2026-03-05T09:56:03Z</dcterms:created>
  <dcterms:modified xsi:type="dcterms:W3CDTF">2026-03-05T10:41:43Z</dcterms:modified>
</cp:coreProperties>
</file>