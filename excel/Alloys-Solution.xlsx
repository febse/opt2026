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yko Amarov\stats\opt2026\excel\"/>
    </mc:Choice>
  </mc:AlternateContent>
  <xr:revisionPtr revIDLastSave="0" documentId="13_ncr:1_{D57EC11C-0577-4BD0-8393-4D14E19E38F2}" xr6:coauthVersionLast="47" xr6:coauthVersionMax="47" xr10:uidLastSave="{00000000-0000-0000-0000-000000000000}"/>
  <bookViews>
    <workbookView xWindow="18855" yWindow="7095" windowWidth="22725" windowHeight="11760" activeTab="2" xr2:uid="{9F0949AA-8545-4911-8F65-5FCD997E7D4F}"/>
  </bookViews>
  <sheets>
    <sheet name="Answer Report 1" sheetId="2" r:id="rId1"/>
    <sheet name="Sensitivity Report 1" sheetId="3" r:id="rId2"/>
    <sheet name="Model" sheetId="1" r:id="rId3"/>
  </sheets>
  <definedNames>
    <definedName name="solver_adj" localSheetId="2" hidden="1">Model!$B$6:$J$6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Model!$K$2:$K$4</definedName>
    <definedName name="solver_lhs2" localSheetId="2" hidden="1">Model!$K$6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Model!$L$5</definedName>
    <definedName name="solver_pre" localSheetId="2" hidden="1">0.000001</definedName>
    <definedName name="solver_rbv" localSheetId="2" hidden="1">1</definedName>
    <definedName name="solver_rel1" localSheetId="2" hidden="1">2</definedName>
    <definedName name="solver_rel2" localSheetId="2" hidden="1">2</definedName>
    <definedName name="solver_rhs1" localSheetId="2" hidden="1">Model!$L$2:$L$4</definedName>
    <definedName name="solver_rhs2" localSheetId="2" hidden="1">Model!$L$6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K6" i="1"/>
  <c r="M5" i="1" l="1"/>
</calcChain>
</file>

<file path=xl/sharedStrings.xml><?xml version="1.0" encoding="utf-8"?>
<sst xmlns="http://schemas.openxmlformats.org/spreadsheetml/2006/main" count="149" uniqueCount="91">
  <si>
    <t>A</t>
  </si>
  <si>
    <t>B</t>
  </si>
  <si>
    <t>C</t>
  </si>
  <si>
    <t>D</t>
  </si>
  <si>
    <t>E</t>
  </si>
  <si>
    <t>G</t>
  </si>
  <si>
    <t>H</t>
  </si>
  <si>
    <t>I</t>
  </si>
  <si>
    <t>Alloy</t>
  </si>
  <si>
    <t>% Lead</t>
  </si>
  <si>
    <t>% Tin</t>
  </si>
  <si>
    <t>Desired</t>
  </si>
  <si>
    <t>F</t>
  </si>
  <si>
    <t>Min</t>
  </si>
  <si>
    <t>% Zinc</t>
  </si>
  <si>
    <t>Cost USD/kg</t>
  </si>
  <si>
    <t>Cost</t>
  </si>
  <si>
    <t>Unity</t>
  </si>
  <si>
    <t>Sum</t>
  </si>
  <si>
    <t>Produced</t>
  </si>
  <si>
    <t>Microsoft Excel 16.0 Answer Report</t>
  </si>
  <si>
    <t>Worksheet: [Alloys-Solution.xlsx]Sheet1</t>
  </si>
  <si>
    <t>Report Created: 3/12/2026 1:08:18 PM</t>
  </si>
  <si>
    <t>Result: Solver found a solution.  All Constraints and optimality conditions are satisfied.</t>
  </si>
  <si>
    <t>Solver Engine</t>
  </si>
  <si>
    <t>Engine: Simplex LP</t>
  </si>
  <si>
    <t>Solution Time: 0.031 Seconds.</t>
  </si>
  <si>
    <t>Iterations: 4 Subproblems: 0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</si>
  <si>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</si>
  <si>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</si>
  <si>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</si>
  <si>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</si>
  <si>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</si>
  <si>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</si>
  <si>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</si>
  <si>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</si>
  <si>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</si>
  <si>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</si>
  <si>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</si>
  <si>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</si>
  <si>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</si>
  <si>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</si>
  <si>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</si>
  <si>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$L$5</t>
  </si>
  <si>
    <t>Min Produced</t>
  </si>
  <si>
    <t>$B$6</t>
  </si>
  <si>
    <t>Usage A</t>
  </si>
  <si>
    <t>Contin</t>
  </si>
  <si>
    <t>$C$6</t>
  </si>
  <si>
    <t>Usage B</t>
  </si>
  <si>
    <t>$D$6</t>
  </si>
  <si>
    <t>Usage C</t>
  </si>
  <si>
    <t>$E$6</t>
  </si>
  <si>
    <t>Usage D</t>
  </si>
  <si>
    <t>$F$6</t>
  </si>
  <si>
    <t>Usage E</t>
  </si>
  <si>
    <t>$G$6</t>
  </si>
  <si>
    <t>Usage F</t>
  </si>
  <si>
    <t>$H$6</t>
  </si>
  <si>
    <t>Usage G</t>
  </si>
  <si>
    <t>$I$6</t>
  </si>
  <si>
    <t>Usage H</t>
  </si>
  <si>
    <t>$J$6</t>
  </si>
  <si>
    <t>Usage I</t>
  </si>
  <si>
    <t>$K$2</t>
  </si>
  <si>
    <t>% Lead Desired</t>
  </si>
  <si>
    <t>$K$2=$L$2</t>
  </si>
  <si>
    <t>Binding</t>
  </si>
  <si>
    <t>$K$3</t>
  </si>
  <si>
    <t>% Zinc Desired</t>
  </si>
  <si>
    <t>$K$3=$L$3</t>
  </si>
  <si>
    <t>$K$4</t>
  </si>
  <si>
    <t>% Tin Desired</t>
  </si>
  <si>
    <t>$K$4=$L$4</t>
  </si>
  <si>
    <t>$K$6</t>
  </si>
  <si>
    <t>Usage Min</t>
  </si>
  <si>
    <t>$K$6=$L$6</t>
  </si>
  <si>
    <t>Microsoft Excel 16.0 Sensitivity Report</t>
  </si>
  <si>
    <t>Final</t>
  </si>
  <si>
    <t>Value</t>
  </si>
  <si>
    <t>Reduced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</si>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</sst>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1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4" xfId="0" applyBorder="1"/>
    <xf numFmtId="0" fontId="2" fillId="0" borderId="3" xfId="0" applyFont="1" applyBorder="1" applyAlignment="1">
      <alignment horizontal="center"/>
    </xf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1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99E57-46E3-443D-B9CC-701A793F7FAF}">
  <dimension ref="A1:G37"/>
  <sheetViews>
    <sheetView showGridLines="0" workbookViewId="0"/>
  </sheetViews>
  <sheetFormatPr defaultRowHeight="15" x14ac:dyDescent="0.25"/>
  <cols>
    <col min="1" max="1" width="2.28515625" customWidth="1"/>
    <col min="2" max="2" width="5" bestFit="1" customWidth="1"/>
    <col min="3" max="3" width="13.42578125" bestFit="1" customWidth="1"/>
    <col min="4" max="4" width="12.5703125" bestFit="1" customWidth="1"/>
    <col min="5" max="5" width="12" bestFit="1" customWidth="1"/>
    <col min="6" max="6" width="6.85546875" bestFit="1" customWidth="1"/>
    <col min="7" max="7" width="5.7109375" bestFit="1" customWidth="1"/>
  </cols>
  <sheetData>
    <row r="1" spans="1:5" x14ac:dyDescent="0.25">
      <c r="A1" s="1" t="s">
        <v>20</v>
      </c>
    </row>
    <row r="2" spans="1:5" x14ac:dyDescent="0.25">
      <c r="A2" s="1" t="s">
        <v>21</v>
      </c>
    </row>
    <row r="3" spans="1:5" x14ac:dyDescent="0.25">
      <c r="A3" s="1" t="s">
        <v>22</v>
      </c>
    </row>
    <row r="4" spans="1:5" x14ac:dyDescent="0.25">
      <c r="A4" s="1" t="s">
        <v>23</v>
      </c>
    </row>
    <row r="5" spans="1:5" x14ac:dyDescent="0.25">
      <c r="A5" s="1" t="s">
        <v>24</v>
      </c>
    </row>
    <row r="6" spans="1:5" x14ac:dyDescent="0.25">
      <c r="A6" s="1"/>
      <c r="B6" t="s">
        <v>25</v>
      </c>
    </row>
    <row r="7" spans="1:5" x14ac:dyDescent="0.25">
      <c r="A7" s="1"/>
      <c r="B7" t="s">
        <v>26</v>
      </c>
    </row>
    <row r="8" spans="1:5" x14ac:dyDescent="0.25">
      <c r="A8" s="1"/>
      <c r="B8" t="s">
        <v>27</v>
      </c>
    </row>
    <row r="9" spans="1:5" x14ac:dyDescent="0.25">
      <c r="A9" s="1" t="s">
        <v>28</v>
      </c>
    </row>
    <row r="10" spans="1:5" x14ac:dyDescent="0.25">
      <c r="B10" t="s">
        <v>29</v>
      </c>
    </row>
    <row r="11" spans="1:5" x14ac:dyDescent="0.25">
      <c r="B11" t="s">
        <v>30</v>
      </c>
    </row>
    <row r="14" spans="1:5" ht="15.75" thickBot="1" x14ac:dyDescent="0.3">
      <c r="A14" t="s">
        <v>31</v>
      </c>
    </row>
    <row r="15" spans="1:5" ht="15.75" thickBot="1" x14ac:dyDescent="0.3">
      <c r="B15" s="3" t="s">
        <v>32</v>
      </c>
      <c r="C15" s="3" t="s">
        <v>33</v>
      </c>
      <c r="D15" s="3" t="s">
        <v>34</v>
      </c>
      <c r="E15" s="3" t="s">
        <v>35</v>
      </c>
    </row>
    <row r="16" spans="1:5" ht="15.75" thickBot="1" x14ac:dyDescent="0.3">
      <c r="B16" s="2" t="s">
        <v>43</v>
      </c>
      <c r="C16" s="2" t="s">
        <v>44</v>
      </c>
      <c r="D16" s="2">
        <v>6.1</v>
      </c>
      <c r="E16" s="2">
        <v>4.9800000000000004</v>
      </c>
    </row>
    <row r="19" spans="1:6" ht="15.75" thickBot="1" x14ac:dyDescent="0.3">
      <c r="A19" t="s">
        <v>36</v>
      </c>
    </row>
    <row r="20" spans="1:6" ht="15.75" thickBot="1" x14ac:dyDescent="0.3">
      <c r="B20" s="3" t="s">
        <v>32</v>
      </c>
      <c r="C20" s="3" t="s">
        <v>33</v>
      </c>
      <c r="D20" s="3" t="s">
        <v>34</v>
      </c>
      <c r="E20" s="3" t="s">
        <v>35</v>
      </c>
      <c r="F20" s="3" t="s">
        <v>37</v>
      </c>
    </row>
    <row r="21" spans="1:6" x14ac:dyDescent="0.25">
      <c r="B21" s="4" t="s">
        <v>45</v>
      </c>
      <c r="C21" s="4" t="s">
        <v>46</v>
      </c>
      <c r="D21" s="4">
        <v>0.1</v>
      </c>
      <c r="E21" s="4">
        <v>1.6653345369377348E-16</v>
      </c>
      <c r="F21" s="4" t="s">
        <v>47</v>
      </c>
    </row>
    <row r="22" spans="1:6" x14ac:dyDescent="0.25">
      <c r="B22" s="4" t="s">
        <v>48</v>
      </c>
      <c r="C22" s="4" t="s">
        <v>49</v>
      </c>
      <c r="D22" s="4">
        <v>0.2</v>
      </c>
      <c r="E22" s="4">
        <v>0.59999999999999976</v>
      </c>
      <c r="F22" s="4" t="s">
        <v>47</v>
      </c>
    </row>
    <row r="23" spans="1:6" x14ac:dyDescent="0.25">
      <c r="B23" s="4" t="s">
        <v>50</v>
      </c>
      <c r="C23" s="4" t="s">
        <v>51</v>
      </c>
      <c r="D23" s="4">
        <v>0</v>
      </c>
      <c r="E23" s="4">
        <v>0</v>
      </c>
      <c r="F23" s="4" t="s">
        <v>47</v>
      </c>
    </row>
    <row r="24" spans="1:6" x14ac:dyDescent="0.25">
      <c r="B24" s="4" t="s">
        <v>52</v>
      </c>
      <c r="C24" s="4" t="s">
        <v>53</v>
      </c>
      <c r="D24" s="4">
        <v>0</v>
      </c>
      <c r="E24" s="4">
        <v>0.40000000000000008</v>
      </c>
      <c r="F24" s="4" t="s">
        <v>47</v>
      </c>
    </row>
    <row r="25" spans="1:6" x14ac:dyDescent="0.25">
      <c r="B25" s="4" t="s">
        <v>54</v>
      </c>
      <c r="C25" s="4" t="s">
        <v>55</v>
      </c>
      <c r="D25" s="4">
        <v>0</v>
      </c>
      <c r="E25" s="4">
        <v>0</v>
      </c>
      <c r="F25" s="4" t="s">
        <v>47</v>
      </c>
    </row>
    <row r="26" spans="1:6" x14ac:dyDescent="0.25">
      <c r="B26" s="4" t="s">
        <v>56</v>
      </c>
      <c r="C26" s="4" t="s">
        <v>57</v>
      </c>
      <c r="D26" s="4">
        <v>0</v>
      </c>
      <c r="E26" s="4">
        <v>0</v>
      </c>
      <c r="F26" s="4" t="s">
        <v>47</v>
      </c>
    </row>
    <row r="27" spans="1:6" x14ac:dyDescent="0.25">
      <c r="B27" s="4" t="s">
        <v>58</v>
      </c>
      <c r="C27" s="4" t="s">
        <v>59</v>
      </c>
      <c r="D27" s="4">
        <v>0</v>
      </c>
      <c r="E27" s="4">
        <v>0</v>
      </c>
      <c r="F27" s="4" t="s">
        <v>47</v>
      </c>
    </row>
    <row r="28" spans="1:6" x14ac:dyDescent="0.25">
      <c r="B28" s="4" t="s">
        <v>60</v>
      </c>
      <c r="C28" s="4" t="s">
        <v>61</v>
      </c>
      <c r="D28" s="4">
        <v>0.7</v>
      </c>
      <c r="E28" s="4">
        <v>0</v>
      </c>
      <c r="F28" s="4" t="s">
        <v>47</v>
      </c>
    </row>
    <row r="29" spans="1:6" ht="15.75" thickBot="1" x14ac:dyDescent="0.3">
      <c r="B29" s="2" t="s">
        <v>62</v>
      </c>
      <c r="C29" s="2" t="s">
        <v>63</v>
      </c>
      <c r="D29" s="2">
        <v>0</v>
      </c>
      <c r="E29" s="2">
        <v>0</v>
      </c>
      <c r="F29" s="2" t="s">
        <v>47</v>
      </c>
    </row>
    <row r="32" spans="1:6" ht="15.75" thickBot="1" x14ac:dyDescent="0.3">
      <c r="A32" t="s">
        <v>38</v>
      </c>
    </row>
    <row r="33" spans="2:7" ht="15.75" thickBot="1" x14ac:dyDescent="0.3">
      <c r="B33" s="3" t="s">
        <v>32</v>
      </c>
      <c r="C33" s="3" t="s">
        <v>33</v>
      </c>
      <c r="D33" s="3" t="s">
        <v>39</v>
      </c>
      <c r="E33" s="3" t="s">
        <v>40</v>
      </c>
      <c r="F33" s="3" t="s">
        <v>41</v>
      </c>
      <c r="G33" s="3" t="s">
        <v>42</v>
      </c>
    </row>
    <row r="34" spans="2:7" x14ac:dyDescent="0.25">
      <c r="B34" s="4" t="s">
        <v>64</v>
      </c>
      <c r="C34" s="4" t="s">
        <v>65</v>
      </c>
      <c r="D34" s="4">
        <v>30</v>
      </c>
      <c r="E34" s="4" t="s">
        <v>66</v>
      </c>
      <c r="F34" s="4" t="s">
        <v>67</v>
      </c>
      <c r="G34" s="4">
        <v>0</v>
      </c>
    </row>
    <row r="35" spans="2:7" x14ac:dyDescent="0.25">
      <c r="B35" s="4" t="s">
        <v>68</v>
      </c>
      <c r="C35" s="4" t="s">
        <v>69</v>
      </c>
      <c r="D35" s="4">
        <v>30</v>
      </c>
      <c r="E35" s="4" t="s">
        <v>70</v>
      </c>
      <c r="F35" s="4" t="s">
        <v>67</v>
      </c>
      <c r="G35" s="4">
        <v>0</v>
      </c>
    </row>
    <row r="36" spans="2:7" x14ac:dyDescent="0.25">
      <c r="B36" s="4" t="s">
        <v>71</v>
      </c>
      <c r="C36" s="4" t="s">
        <v>72</v>
      </c>
      <c r="D36" s="4">
        <v>40</v>
      </c>
      <c r="E36" s="4" t="s">
        <v>73</v>
      </c>
      <c r="F36" s="4" t="s">
        <v>67</v>
      </c>
      <c r="G36" s="4">
        <v>0</v>
      </c>
    </row>
    <row r="37" spans="2:7" ht="15.75" thickBot="1" x14ac:dyDescent="0.3">
      <c r="B37" s="2" t="s">
        <v>74</v>
      </c>
      <c r="C37" s="2" t="s">
        <v>75</v>
      </c>
      <c r="D37" s="2">
        <v>1</v>
      </c>
      <c r="E37" s="2" t="s">
        <v>76</v>
      </c>
      <c r="F37" s="2" t="s">
        <v>67</v>
      </c>
      <c r="G37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7635-A18F-489C-A8C8-6DAAA9AAD01F}">
  <dimension ref="A1:H25"/>
  <sheetViews>
    <sheetView showGridLines="0" workbookViewId="0"/>
  </sheetViews>
  <sheetFormatPr defaultRowHeight="15" x14ac:dyDescent="0.25"/>
  <cols>
    <col min="1" max="1" width="2.28515625" customWidth="1"/>
    <col min="2" max="2" width="5.28515625" bestFit="1" customWidth="1"/>
    <col min="3" max="3" width="13.42578125" bestFit="1" customWidth="1"/>
    <col min="4" max="4" width="12" bestFit="1" customWidth="1"/>
    <col min="5" max="5" width="8.28515625" bestFit="1" customWidth="1"/>
    <col min="6" max="6" width="10.140625" bestFit="1" customWidth="1"/>
    <col min="7" max="8" width="12" bestFit="1" customWidth="1"/>
  </cols>
  <sheetData>
    <row r="1" spans="1:8" x14ac:dyDescent="0.25">
      <c r="A1" s="1" t="s">
        <v>77</v>
      </c>
    </row>
    <row r="2" spans="1:8" x14ac:dyDescent="0.25">
      <c r="A2" s="1" t="s">
        <v>21</v>
      </c>
    </row>
    <row r="3" spans="1:8" x14ac:dyDescent="0.25">
      <c r="A3" s="1" t="s">
        <v>22</v>
      </c>
    </row>
    <row r="6" spans="1:8" ht="15.75" thickBot="1" x14ac:dyDescent="0.3">
      <c r="A6" t="s">
        <v>36</v>
      </c>
    </row>
    <row r="7" spans="1:8" x14ac:dyDescent="0.25">
      <c r="B7" s="5"/>
      <c r="C7" s="5"/>
      <c r="D7" s="5" t="s">
        <v>78</v>
      </c>
      <c r="E7" s="5" t="s">
        <v>80</v>
      </c>
      <c r="F7" s="5" t="s">
        <v>81</v>
      </c>
      <c r="G7" s="5" t="s">
        <v>83</v>
      </c>
      <c r="H7" s="5" t="s">
        <v>83</v>
      </c>
    </row>
    <row r="8" spans="1:8" ht="15.75" thickBot="1" x14ac:dyDescent="0.3">
      <c r="B8" s="6" t="s">
        <v>32</v>
      </c>
      <c r="C8" s="6" t="s">
        <v>33</v>
      </c>
      <c r="D8" s="6" t="s">
        <v>79</v>
      </c>
      <c r="E8" s="6" t="s">
        <v>16</v>
      </c>
      <c r="F8" s="6" t="s">
        <v>82</v>
      </c>
      <c r="G8" s="6" t="s">
        <v>84</v>
      </c>
      <c r="H8" s="6" t="s">
        <v>85</v>
      </c>
    </row>
    <row r="9" spans="1:8" x14ac:dyDescent="0.25">
      <c r="B9" s="4" t="s">
        <v>45</v>
      </c>
      <c r="C9" s="4" t="s">
        <v>46</v>
      </c>
      <c r="D9" s="4">
        <v>1.6653345369377348E-16</v>
      </c>
      <c r="E9" s="4">
        <v>0</v>
      </c>
      <c r="F9" s="4">
        <v>4.0999999999999996</v>
      </c>
      <c r="G9" s="4">
        <v>4.8399999999999954</v>
      </c>
      <c r="H9" s="4">
        <v>0.28000000000000147</v>
      </c>
    </row>
    <row r="10" spans="1:8" x14ac:dyDescent="0.25">
      <c r="B10" s="4" t="s">
        <v>48</v>
      </c>
      <c r="C10" s="4" t="s">
        <v>49</v>
      </c>
      <c r="D10" s="4">
        <v>0.59999999999999976</v>
      </c>
      <c r="E10" s="4">
        <v>0</v>
      </c>
      <c r="F10" s="4">
        <v>4.2999999999999989</v>
      </c>
      <c r="G10" s="4">
        <v>0.20000000000000107</v>
      </c>
      <c r="H10" s="4">
        <v>1E+30</v>
      </c>
    </row>
    <row r="11" spans="1:8" x14ac:dyDescent="0.25">
      <c r="B11" s="4" t="s">
        <v>50</v>
      </c>
      <c r="C11" s="4" t="s">
        <v>51</v>
      </c>
      <c r="D11" s="4">
        <v>0</v>
      </c>
      <c r="E11" s="4">
        <v>0.28000000000000141</v>
      </c>
      <c r="F11" s="4">
        <v>5.8000000000000007</v>
      </c>
      <c r="G11" s="4">
        <v>1E+30</v>
      </c>
      <c r="H11" s="4">
        <v>0.28000000000000141</v>
      </c>
    </row>
    <row r="12" spans="1:8" x14ac:dyDescent="0.25">
      <c r="B12" s="4" t="s">
        <v>52</v>
      </c>
      <c r="C12" s="4" t="s">
        <v>53</v>
      </c>
      <c r="D12" s="4">
        <v>0.40000000000000008</v>
      </c>
      <c r="E12" s="4">
        <v>0</v>
      </c>
      <c r="F12" s="4">
        <v>6</v>
      </c>
      <c r="G12" s="4">
        <v>0.46666666666666906</v>
      </c>
      <c r="H12" s="4">
        <v>1E+30</v>
      </c>
    </row>
    <row r="13" spans="1:8" x14ac:dyDescent="0.25">
      <c r="B13" s="4" t="s">
        <v>54</v>
      </c>
      <c r="C13" s="4" t="s">
        <v>55</v>
      </c>
      <c r="D13" s="4">
        <v>0</v>
      </c>
      <c r="E13" s="4">
        <v>2.6199999999999983</v>
      </c>
      <c r="F13" s="4">
        <v>7.5999999999999979</v>
      </c>
      <c r="G13" s="4">
        <v>1E+30</v>
      </c>
      <c r="H13" s="4">
        <v>2.6199999999999983</v>
      </c>
    </row>
    <row r="14" spans="1:8" x14ac:dyDescent="0.25">
      <c r="B14" s="4" t="s">
        <v>56</v>
      </c>
      <c r="C14" s="4" t="s">
        <v>57</v>
      </c>
      <c r="D14" s="4">
        <v>0</v>
      </c>
      <c r="E14" s="4">
        <v>2.4200000000000013</v>
      </c>
      <c r="F14" s="4">
        <v>7.5</v>
      </c>
      <c r="G14" s="4">
        <v>1E+30</v>
      </c>
      <c r="H14" s="4">
        <v>2.4200000000000013</v>
      </c>
    </row>
    <row r="15" spans="1:8" x14ac:dyDescent="0.25">
      <c r="B15" s="4" t="s">
        <v>58</v>
      </c>
      <c r="C15" s="4" t="s">
        <v>59</v>
      </c>
      <c r="D15" s="4">
        <v>0</v>
      </c>
      <c r="E15" s="4">
        <v>2.4199999999999977</v>
      </c>
      <c r="F15" s="4">
        <v>7.2999999999999972</v>
      </c>
      <c r="G15" s="4">
        <v>1E+30</v>
      </c>
      <c r="H15" s="4">
        <v>2.4199999999999977</v>
      </c>
    </row>
    <row r="16" spans="1:8" x14ac:dyDescent="0.25">
      <c r="B16" s="4" t="s">
        <v>60</v>
      </c>
      <c r="C16" s="4" t="s">
        <v>61</v>
      </c>
      <c r="D16" s="4">
        <v>0</v>
      </c>
      <c r="E16" s="4">
        <v>1.1399999999999992</v>
      </c>
      <c r="F16" s="4">
        <v>6.8999999999999986</v>
      </c>
      <c r="G16" s="4">
        <v>1E+30</v>
      </c>
      <c r="H16" s="4">
        <v>1.1399999999999992</v>
      </c>
    </row>
    <row r="17" spans="1:8" ht="15.75" thickBot="1" x14ac:dyDescent="0.3">
      <c r="B17" s="2" t="s">
        <v>62</v>
      </c>
      <c r="C17" s="2" t="s">
        <v>63</v>
      </c>
      <c r="D17" s="2">
        <v>0</v>
      </c>
      <c r="E17" s="2">
        <v>2.6599999999999975</v>
      </c>
      <c r="F17" s="2">
        <v>7.2999999999999972</v>
      </c>
      <c r="G17" s="2">
        <v>1E+30</v>
      </c>
      <c r="H17" s="2">
        <v>2.6599999999999975</v>
      </c>
    </row>
    <row r="19" spans="1:8" ht="15.75" thickBot="1" x14ac:dyDescent="0.3">
      <c r="A19" t="s">
        <v>38</v>
      </c>
    </row>
    <row r="20" spans="1:8" x14ac:dyDescent="0.25">
      <c r="B20" s="5"/>
      <c r="C20" s="5"/>
      <c r="D20" s="5" t="s">
        <v>78</v>
      </c>
      <c r="E20" s="5" t="s">
        <v>86</v>
      </c>
      <c r="F20" s="5" t="s">
        <v>88</v>
      </c>
      <c r="G20" s="5" t="s">
        <v>83</v>
      </c>
      <c r="H20" s="5" t="s">
        <v>83</v>
      </c>
    </row>
    <row r="21" spans="1:8" ht="15.75" thickBot="1" x14ac:dyDescent="0.3">
      <c r="B21" s="6" t="s">
        <v>32</v>
      </c>
      <c r="C21" s="6" t="s">
        <v>33</v>
      </c>
      <c r="D21" s="6" t="s">
        <v>79</v>
      </c>
      <c r="E21" s="6" t="s">
        <v>87</v>
      </c>
      <c r="F21" s="6" t="s">
        <v>89</v>
      </c>
      <c r="G21" s="6" t="s">
        <v>84</v>
      </c>
      <c r="H21" s="6" t="s">
        <v>85</v>
      </c>
    </row>
    <row r="22" spans="1:8" x14ac:dyDescent="0.25">
      <c r="B22" s="4" t="s">
        <v>64</v>
      </c>
      <c r="C22" s="4" t="s">
        <v>65</v>
      </c>
      <c r="D22" s="4">
        <v>30</v>
      </c>
      <c r="E22" s="4">
        <v>-7.060000000000001E-2</v>
      </c>
      <c r="F22" s="4">
        <v>0</v>
      </c>
      <c r="G22" s="4">
        <v>1.1102230246251569E-14</v>
      </c>
      <c r="H22" s="4">
        <v>1.3877787807814459E-15</v>
      </c>
    </row>
    <row r="23" spans="1:8" x14ac:dyDescent="0.25">
      <c r="B23" s="4" t="s">
        <v>68</v>
      </c>
      <c r="C23" s="4" t="s">
        <v>69</v>
      </c>
      <c r="D23" s="4">
        <v>30</v>
      </c>
      <c r="E23" s="4">
        <v>-4.6599999999999975E-2</v>
      </c>
      <c r="F23" s="4">
        <v>0</v>
      </c>
      <c r="G23" s="4">
        <v>12.765957446808509</v>
      </c>
      <c r="H23" s="4">
        <v>1.3877787807814457E-15</v>
      </c>
    </row>
    <row r="24" spans="1:8" x14ac:dyDescent="0.25">
      <c r="B24" s="4" t="s">
        <v>71</v>
      </c>
      <c r="C24" s="4" t="s">
        <v>72</v>
      </c>
      <c r="D24" s="4">
        <v>40</v>
      </c>
      <c r="E24" s="4">
        <v>-3.6600000000000001E-2</v>
      </c>
      <c r="F24" s="4">
        <v>0</v>
      </c>
      <c r="G24" s="4">
        <v>1.1102230246251564E-14</v>
      </c>
      <c r="H24" s="4">
        <v>1.3877787807814455E-15</v>
      </c>
    </row>
    <row r="25" spans="1:8" ht="15.75" thickBot="1" x14ac:dyDescent="0.3">
      <c r="B25" s="2" t="s">
        <v>74</v>
      </c>
      <c r="C25" s="2" t="s">
        <v>75</v>
      </c>
      <c r="D25" s="2">
        <v>1</v>
      </c>
      <c r="E25" s="2">
        <v>0</v>
      </c>
      <c r="F25" s="2">
        <v>1</v>
      </c>
      <c r="G25" s="2">
        <v>1.3877787807814457E-17</v>
      </c>
      <c r="H25" s="2">
        <v>1E+30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8131C-1B7F-408B-B54E-7DCB6FC3E4AA}">
  <dimension ref="A1:M7"/>
  <sheetViews>
    <sheetView tabSelected="1" workbookViewId="0">
      <selection activeCell="C6" sqref="C6"/>
    </sheetView>
  </sheetViews>
  <sheetFormatPr defaultRowHeight="15" x14ac:dyDescent="0.25"/>
  <cols>
    <col min="1" max="1" width="11.7109375" customWidth="1"/>
  </cols>
  <sheetData>
    <row r="1" spans="1:13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12</v>
      </c>
      <c r="H1" t="s">
        <v>5</v>
      </c>
      <c r="I1" t="s">
        <v>6</v>
      </c>
      <c r="J1" t="s">
        <v>7</v>
      </c>
      <c r="K1" t="s">
        <v>11</v>
      </c>
      <c r="L1" t="s">
        <v>19</v>
      </c>
    </row>
    <row r="2" spans="1:13" x14ac:dyDescent="0.25">
      <c r="A2" t="s">
        <v>9</v>
      </c>
      <c r="B2">
        <v>10</v>
      </c>
      <c r="C2">
        <v>10</v>
      </c>
      <c r="D2">
        <v>40</v>
      </c>
      <c r="E2">
        <v>60</v>
      </c>
      <c r="F2">
        <v>30</v>
      </c>
      <c r="G2">
        <v>30</v>
      </c>
      <c r="H2">
        <v>30</v>
      </c>
      <c r="I2">
        <v>50</v>
      </c>
      <c r="J2">
        <v>20</v>
      </c>
      <c r="K2">
        <v>30</v>
      </c>
      <c r="L2" s="1">
        <f>SUMPRODUCT($B$6:$J$6, B2:J2)</f>
        <v>30.000000000000004</v>
      </c>
    </row>
    <row r="3" spans="1:13" x14ac:dyDescent="0.25">
      <c r="A3" t="s">
        <v>14</v>
      </c>
      <c r="B3">
        <v>10</v>
      </c>
      <c r="C3">
        <v>30</v>
      </c>
      <c r="D3">
        <v>50</v>
      </c>
      <c r="E3">
        <v>30</v>
      </c>
      <c r="F3">
        <v>30</v>
      </c>
      <c r="G3">
        <v>40</v>
      </c>
      <c r="H3">
        <v>20</v>
      </c>
      <c r="I3">
        <v>40</v>
      </c>
      <c r="J3">
        <v>30</v>
      </c>
      <c r="K3">
        <v>30</v>
      </c>
      <c r="L3" s="1">
        <f>SUMPRODUCT($B$6:$J$6, B3:J3)</f>
        <v>29.999999999999993</v>
      </c>
    </row>
    <row r="4" spans="1:13" x14ac:dyDescent="0.25">
      <c r="A4" t="s">
        <v>10</v>
      </c>
      <c r="B4">
        <v>80</v>
      </c>
      <c r="C4">
        <v>60</v>
      </c>
      <c r="D4">
        <v>10</v>
      </c>
      <c r="E4">
        <v>10</v>
      </c>
      <c r="F4">
        <v>40</v>
      </c>
      <c r="G4">
        <v>30</v>
      </c>
      <c r="H4">
        <v>50</v>
      </c>
      <c r="I4">
        <v>10</v>
      </c>
      <c r="J4">
        <v>50</v>
      </c>
      <c r="K4">
        <v>40</v>
      </c>
      <c r="L4" s="1">
        <f>SUMPRODUCT($B$6:$J$6, B4:J4)</f>
        <v>40</v>
      </c>
    </row>
    <row r="5" spans="1:13" x14ac:dyDescent="0.25">
      <c r="A5" t="s">
        <v>15</v>
      </c>
      <c r="B5">
        <v>4.0999999999999996</v>
      </c>
      <c r="C5">
        <v>4.3</v>
      </c>
      <c r="D5">
        <v>5.8</v>
      </c>
      <c r="E5">
        <v>6</v>
      </c>
      <c r="F5">
        <v>7.6</v>
      </c>
      <c r="G5">
        <v>7.5</v>
      </c>
      <c r="H5">
        <v>7.3</v>
      </c>
      <c r="I5">
        <v>6.9</v>
      </c>
      <c r="J5">
        <v>7.3</v>
      </c>
      <c r="K5" s="1" t="s">
        <v>13</v>
      </c>
      <c r="L5" s="1">
        <f>SUMPRODUCT($B$6:$J$6, B5:J5)</f>
        <v>4.9800000000000004</v>
      </c>
      <c r="M5">
        <f>SUM(L2:L4)</f>
        <v>100</v>
      </c>
    </row>
    <row r="6" spans="1:13" x14ac:dyDescent="0.25">
      <c r="A6" t="s">
        <v>90</v>
      </c>
      <c r="B6" s="7">
        <v>1.6653345369377299E-16</v>
      </c>
      <c r="C6" s="8">
        <v>0.59999999999999976</v>
      </c>
      <c r="D6" s="8">
        <v>0</v>
      </c>
      <c r="E6" s="8">
        <v>0.40000000000000008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>
        <f>SUM(B6:J6)</f>
        <v>1</v>
      </c>
      <c r="L6">
        <v>1</v>
      </c>
      <c r="M6" t="s">
        <v>17</v>
      </c>
    </row>
    <row r="7" spans="1:13" x14ac:dyDescent="0.25">
      <c r="K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 Report 1</vt:lpstr>
      <vt:lpstr>Sensitivity Report 1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Бойко Моисов Амаров</dc:creator>
  <cp:lastModifiedBy>Бойко Моисов Амаров</cp:lastModifiedBy>
  <dcterms:created xsi:type="dcterms:W3CDTF">2026-03-12T08:43:46Z</dcterms:created>
  <dcterms:modified xsi:type="dcterms:W3CDTF">2026-03-12T14:21:28Z</dcterms:modified>
</cp:coreProperties>
</file>